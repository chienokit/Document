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D:\ChienVH\Code\Document\"/>
    </mc:Choice>
  </mc:AlternateContent>
  <xr:revisionPtr revIDLastSave="0" documentId="13_ncr:1_{AD23E1CA-473C-4CF9-8A58-DF2416F5603E}" xr6:coauthVersionLast="47" xr6:coauthVersionMax="47" xr10:uidLastSave="{00000000-0000-0000-0000-000000000000}"/>
  <bookViews>
    <workbookView xWindow="-108" yWindow="-108" windowWidth="23256" windowHeight="12576" activeTab="1" xr2:uid="{00000000-000D-0000-FFFF-FFFF00000000}"/>
  </bookViews>
  <sheets>
    <sheet name="Tài Khoản" sheetId="5" r:id="rId1"/>
    <sheet name="Biến Động TK" sheetId="6" r:id="rId2"/>
    <sheet name="Back Test" sheetId="2" r:id="rId3"/>
    <sheet name="Danh Mục" sheetId="3" r:id="rId4"/>
    <sheet name="Note"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8" i="6" l="1"/>
  <c r="C227" i="6"/>
  <c r="C226" i="6"/>
  <c r="C225" i="6"/>
  <c r="C224" i="6"/>
  <c r="C223" i="6"/>
  <c r="G8" i="3"/>
  <c r="G7" i="3"/>
  <c r="C222" i="6"/>
  <c r="C221" i="6"/>
  <c r="C220" i="6"/>
  <c r="C219" i="6"/>
  <c r="C218" i="6"/>
  <c r="C217" i="6"/>
  <c r="C216" i="6"/>
  <c r="G6" i="3"/>
  <c r="C215" i="6"/>
  <c r="C214" i="6"/>
  <c r="C213" i="6"/>
  <c r="C212" i="6"/>
  <c r="C211" i="6"/>
  <c r="C210" i="6"/>
  <c r="C209" i="6"/>
  <c r="C208" i="6"/>
  <c r="C207" i="6"/>
  <c r="C206" i="6"/>
  <c r="C205" i="6"/>
  <c r="C204" i="6"/>
  <c r="C203" i="6"/>
  <c r="C202" i="6"/>
  <c r="C201" i="6"/>
  <c r="C200" i="6"/>
  <c r="C199" i="6"/>
  <c r="C198" i="6"/>
  <c r="C197" i="6"/>
  <c r="C196" i="6"/>
  <c r="C195" i="6"/>
  <c r="C194" i="6"/>
  <c r="C193" i="6"/>
  <c r="C191" i="6"/>
  <c r="G5" i="3"/>
  <c r="C190" i="6"/>
  <c r="G27" i="3"/>
  <c r="C189" i="6"/>
  <c r="C188" i="6"/>
  <c r="C187" i="6"/>
  <c r="C186" i="6"/>
  <c r="C185" i="6"/>
  <c r="G28" i="3"/>
  <c r="C184" i="6"/>
  <c r="C183" i="6"/>
  <c r="C182" i="6"/>
  <c r="C181" i="6"/>
  <c r="G30" i="3"/>
  <c r="C180" i="6"/>
  <c r="C179" i="6"/>
  <c r="C178" i="6"/>
  <c r="G29" i="3"/>
  <c r="C177" i="6"/>
  <c r="C176" i="6"/>
  <c r="C175" i="6"/>
  <c r="C174" i="6"/>
  <c r="C173" i="6"/>
  <c r="C172" i="6"/>
  <c r="C171" i="6"/>
  <c r="C170" i="6"/>
  <c r="C169" i="6"/>
  <c r="G3" i="3"/>
  <c r="C168" i="6"/>
  <c r="G35" i="3"/>
  <c r="G33" i="3"/>
  <c r="C167" i="6"/>
  <c r="G32" i="3"/>
  <c r="G4" i="3"/>
  <c r="C166" i="6"/>
  <c r="C165" i="6"/>
  <c r="C164" i="6"/>
  <c r="C163" i="6"/>
  <c r="G2" i="3"/>
  <c r="G34" i="3"/>
  <c r="C162" i="6"/>
  <c r="G26" i="3"/>
  <c r="C161" i="6"/>
  <c r="C160" i="6"/>
  <c r="C159" i="6"/>
  <c r="C158" i="6"/>
  <c r="C157" i="6"/>
  <c r="C156" i="6"/>
  <c r="C155" i="6"/>
  <c r="G39" i="3"/>
  <c r="C154" i="6"/>
  <c r="C153" i="6"/>
  <c r="G41" i="3"/>
  <c r="C152" i="6"/>
  <c r="C151" i="6"/>
  <c r="C150" i="6"/>
  <c r="C149" i="6"/>
  <c r="C148" i="6"/>
  <c r="G40" i="3"/>
  <c r="G36" i="3"/>
  <c r="C147" i="6"/>
  <c r="G38" i="3"/>
  <c r="C146" i="6"/>
  <c r="C145" i="6"/>
  <c r="G42" i="3"/>
  <c r="C144" i="6"/>
  <c r="C143" i="6" l="1"/>
  <c r="G44" i="3"/>
  <c r="C142" i="6"/>
  <c r="C141" i="6"/>
  <c r="C140" i="6"/>
  <c r="G37" i="3"/>
  <c r="C139" i="6"/>
  <c r="C138" i="6"/>
  <c r="C137" i="6"/>
  <c r="G48" i="3"/>
  <c r="G49" i="3"/>
  <c r="C136" i="6"/>
  <c r="C135" i="6"/>
  <c r="G43" i="3"/>
  <c r="C134" i="6"/>
  <c r="C133" i="6"/>
  <c r="G46" i="3"/>
  <c r="C132" i="6"/>
  <c r="C131" i="6"/>
  <c r="C130" i="6"/>
  <c r="G47" i="3"/>
  <c r="G52" i="3"/>
  <c r="C129" i="6"/>
  <c r="C128" i="6"/>
  <c r="C127" i="6"/>
  <c r="C126" i="6"/>
  <c r="C125" i="6"/>
  <c r="C124" i="6"/>
  <c r="G51" i="3"/>
  <c r="C123" i="6"/>
  <c r="G50" i="3"/>
  <c r="G55" i="3"/>
  <c r="C122" i="6"/>
  <c r="G57" i="3"/>
  <c r="C121" i="6"/>
  <c r="G59" i="3"/>
  <c r="C120" i="6"/>
  <c r="G58" i="3"/>
  <c r="C119" i="6"/>
  <c r="G56" i="3"/>
  <c r="C118" i="6"/>
  <c r="C117" i="6"/>
  <c r="G62" i="3"/>
  <c r="C116" i="6"/>
  <c r="G53" i="3"/>
  <c r="C115" i="6"/>
  <c r="G60" i="3"/>
  <c r="G61" i="3"/>
  <c r="G45" i="3"/>
  <c r="C114" i="6"/>
  <c r="G31" i="3"/>
  <c r="C113" i="6" l="1"/>
  <c r="G64" i="3"/>
  <c r="C112" i="6"/>
  <c r="C111" i="6"/>
  <c r="G63" i="3"/>
  <c r="G54" i="3"/>
  <c r="G66" i="3"/>
  <c r="C110" i="6"/>
  <c r="G65" i="3"/>
  <c r="G74" i="3"/>
  <c r="C109" i="6"/>
  <c r="C108" i="6"/>
  <c r="C107" i="6"/>
  <c r="C106" i="6"/>
  <c r="C105" i="6"/>
  <c r="C104" i="6"/>
  <c r="G67" i="3"/>
  <c r="C102" i="6"/>
  <c r="C101" i="6"/>
  <c r="G68" i="3"/>
  <c r="C100" i="6"/>
  <c r="G73" i="3"/>
  <c r="G69" i="3"/>
  <c r="C99" i="6"/>
  <c r="D823" i="2"/>
  <c r="C823" i="2"/>
  <c r="D822" i="2"/>
  <c r="C822" i="2"/>
  <c r="D821" i="2"/>
  <c r="C821" i="2"/>
  <c r="D820" i="2"/>
  <c r="C820" i="2"/>
  <c r="D819" i="2"/>
  <c r="D818" i="2"/>
  <c r="C818" i="2"/>
  <c r="D817" i="2"/>
  <c r="C817" i="2"/>
  <c r="D816" i="2"/>
  <c r="C816" i="2"/>
  <c r="D815" i="2"/>
  <c r="C815" i="2"/>
  <c r="D814" i="2"/>
  <c r="C814" i="2"/>
  <c r="D813" i="2"/>
  <c r="C813" i="2"/>
  <c r="D812" i="2"/>
  <c r="C812" i="2"/>
  <c r="D811" i="2"/>
  <c r="C811" i="2"/>
  <c r="D810" i="2"/>
  <c r="C810" i="2"/>
  <c r="D809" i="2"/>
  <c r="C809" i="2"/>
  <c r="D808" i="2"/>
  <c r="C808" i="2"/>
  <c r="D807" i="2"/>
  <c r="C807" i="2"/>
  <c r="D806" i="2"/>
  <c r="C806" i="2"/>
  <c r="D805" i="2"/>
  <c r="C805" i="2"/>
  <c r="D804" i="2"/>
  <c r="C804" i="2"/>
  <c r="D803" i="2"/>
  <c r="C803" i="2"/>
  <c r="D802" i="2"/>
  <c r="D801" i="2"/>
  <c r="C801" i="2"/>
  <c r="D800" i="2"/>
  <c r="C800" i="2"/>
  <c r="D799" i="2"/>
  <c r="C799" i="2"/>
  <c r="D798" i="2"/>
  <c r="C798" i="2"/>
  <c r="D797" i="2"/>
  <c r="D796" i="2"/>
  <c r="C796" i="2"/>
  <c r="D795" i="2"/>
  <c r="C795" i="2"/>
  <c r="D794" i="2"/>
  <c r="C794" i="2"/>
  <c r="D793" i="2"/>
  <c r="C793" i="2"/>
  <c r="D792" i="2"/>
  <c r="C792" i="2"/>
  <c r="D791" i="2"/>
  <c r="C791" i="2"/>
  <c r="D790" i="2"/>
  <c r="C790" i="2"/>
  <c r="D789" i="2"/>
  <c r="D788" i="2"/>
  <c r="C788" i="2"/>
  <c r="D787" i="2"/>
  <c r="C787" i="2"/>
  <c r="C786" i="2"/>
  <c r="D786" i="2" s="1"/>
  <c r="D785" i="2"/>
  <c r="C785" i="2"/>
  <c r="D784" i="2"/>
  <c r="C784" i="2"/>
  <c r="D783" i="2"/>
  <c r="C783" i="2"/>
  <c r="D782" i="2"/>
  <c r="C782" i="2"/>
  <c r="D781" i="2"/>
  <c r="C781" i="2"/>
  <c r="D780" i="2"/>
  <c r="C780" i="2"/>
  <c r="D779" i="2"/>
  <c r="D778" i="2"/>
  <c r="C778" i="2"/>
  <c r="D777" i="2"/>
  <c r="C777" i="2"/>
  <c r="D776" i="2"/>
  <c r="C776" i="2"/>
  <c r="D775" i="2"/>
  <c r="C775" i="2"/>
  <c r="C98" i="6" l="1"/>
  <c r="G70" i="3"/>
  <c r="C97" i="6"/>
  <c r="G72" i="3"/>
  <c r="C96" i="6"/>
  <c r="C95" i="6"/>
  <c r="G75" i="3"/>
  <c r="C94" i="6"/>
  <c r="C93" i="6"/>
  <c r="G78" i="3"/>
  <c r="G71" i="3"/>
  <c r="C92" i="6"/>
  <c r="C91" i="6"/>
  <c r="C90" i="6"/>
  <c r="G79" i="3"/>
  <c r="C89" i="6"/>
  <c r="C772" i="2"/>
  <c r="C771" i="2"/>
  <c r="C770" i="2"/>
  <c r="C769" i="2"/>
  <c r="C768" i="2"/>
  <c r="C767" i="2"/>
  <c r="C766" i="2"/>
  <c r="C765"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7" i="2"/>
  <c r="C736" i="2"/>
  <c r="C735" i="2"/>
  <c r="C734" i="2"/>
  <c r="C731" i="2"/>
  <c r="C730" i="2"/>
  <c r="C729" i="2"/>
  <c r="C728" i="2"/>
  <c r="C727" i="2"/>
  <c r="C726" i="2"/>
  <c r="C725" i="2"/>
  <c r="D725" i="2" s="1"/>
  <c r="D726" i="2" s="1"/>
  <c r="D727" i="2" s="1"/>
  <c r="D728" i="2" s="1"/>
  <c r="D729" i="2" s="1"/>
  <c r="D730" i="2" s="1"/>
  <c r="D731" i="2" s="1"/>
  <c r="D732" i="2" s="1"/>
  <c r="D733" i="2" s="1"/>
  <c r="D734" i="2" s="1"/>
  <c r="D735" i="2" s="1"/>
  <c r="D736" i="2" s="1"/>
  <c r="D737" i="2" s="1"/>
  <c r="D738" i="2" s="1"/>
  <c r="D739" i="2" s="1"/>
  <c r="D740" i="2" s="1"/>
  <c r="D741" i="2" s="1"/>
  <c r="D742" i="2" s="1"/>
  <c r="D743" i="2" s="1"/>
  <c r="D744" i="2" s="1"/>
  <c r="D745" i="2" s="1"/>
  <c r="D746" i="2" s="1"/>
  <c r="D747" i="2" s="1"/>
  <c r="D748" i="2" s="1"/>
  <c r="D749" i="2" s="1"/>
  <c r="D750" i="2" s="1"/>
  <c r="D751" i="2" s="1"/>
  <c r="D752" i="2" s="1"/>
  <c r="D753" i="2" s="1"/>
  <c r="D754" i="2" s="1"/>
  <c r="D755" i="2" s="1"/>
  <c r="D756" i="2" s="1"/>
  <c r="D757" i="2" s="1"/>
  <c r="D758" i="2" s="1"/>
  <c r="D759" i="2" s="1"/>
  <c r="D760" i="2" s="1"/>
  <c r="D761" i="2" s="1"/>
  <c r="D762" i="2" s="1"/>
  <c r="D763" i="2" s="1"/>
  <c r="D764" i="2" s="1"/>
  <c r="D765" i="2" s="1"/>
  <c r="D766" i="2" s="1"/>
  <c r="D767" i="2" s="1"/>
  <c r="D768" i="2" s="1"/>
  <c r="D769" i="2" s="1"/>
  <c r="D770" i="2" s="1"/>
  <c r="D771" i="2" s="1"/>
  <c r="D772" i="2" s="1"/>
  <c r="C88" i="6"/>
  <c r="C87" i="6"/>
  <c r="G81" i="3"/>
  <c r="G82" i="3"/>
  <c r="G80" i="3"/>
  <c r="C86" i="6"/>
  <c r="C85" i="6"/>
  <c r="G77" i="3"/>
  <c r="C84" i="6"/>
  <c r="G84" i="3"/>
  <c r="G87" i="3"/>
  <c r="G76" i="3"/>
  <c r="G85" i="3"/>
  <c r="G83" i="3"/>
  <c r="C80" i="6"/>
  <c r="C81" i="6"/>
  <c r="C82" i="6"/>
  <c r="G86" i="3"/>
  <c r="C79" i="6"/>
  <c r="G88" i="3" l="1"/>
  <c r="C78" i="6"/>
  <c r="C77" i="6"/>
  <c r="C76" i="6"/>
  <c r="G95" i="3"/>
  <c r="C75" i="6"/>
  <c r="C74" i="6"/>
  <c r="G89" i="3"/>
  <c r="G92" i="3"/>
  <c r="C73" i="6"/>
  <c r="G90" i="3"/>
  <c r="G94" i="3"/>
  <c r="C72" i="6"/>
  <c r="C71" i="6"/>
  <c r="G97" i="3"/>
  <c r="G96" i="3"/>
  <c r="C70" i="6"/>
  <c r="G98" i="3"/>
  <c r="C69" i="6"/>
  <c r="G93" i="3"/>
  <c r="C68" i="6"/>
  <c r="C67" i="6"/>
  <c r="C66" i="6"/>
  <c r="C65" i="6"/>
  <c r="C64" i="6"/>
  <c r="C63" i="6"/>
  <c r="G102" i="3"/>
  <c r="C62" i="6"/>
  <c r="C61" i="6"/>
  <c r="C60" i="6"/>
  <c r="C59" i="6"/>
  <c r="C58" i="6" l="1"/>
  <c r="G104" i="3"/>
  <c r="C57" i="6"/>
  <c r="C56" i="6"/>
  <c r="C55" i="6"/>
  <c r="C54" i="6"/>
  <c r="C53" i="6"/>
  <c r="G105" i="3"/>
  <c r="G99" i="3"/>
  <c r="C52" i="6"/>
  <c r="G106" i="3"/>
  <c r="G108" i="3"/>
  <c r="C45" i="6"/>
  <c r="G109" i="3"/>
  <c r="C44" i="6"/>
  <c r="C43" i="6"/>
  <c r="G110" i="3"/>
  <c r="G100" i="3"/>
  <c r="C42" i="6"/>
  <c r="G91" i="3"/>
  <c r="C41" i="6"/>
  <c r="C40" i="6"/>
  <c r="G111" i="3"/>
  <c r="C39" i="6"/>
  <c r="G117" i="3"/>
  <c r="C38" i="6"/>
  <c r="C37" i="6"/>
  <c r="C36" i="6"/>
  <c r="C722" i="2"/>
  <c r="C721" i="2"/>
  <c r="C720" i="2"/>
  <c r="C719" i="2"/>
  <c r="C718" i="2"/>
  <c r="C717" i="2"/>
  <c r="C715" i="2"/>
  <c r="C714" i="2"/>
  <c r="C713" i="2"/>
  <c r="C712" i="2"/>
  <c r="C711" i="2"/>
  <c r="C710" i="2"/>
  <c r="C709" i="2"/>
  <c r="C708" i="2"/>
  <c r="C707" i="2"/>
  <c r="C706" i="2"/>
  <c r="C705" i="2"/>
  <c r="C704" i="2"/>
  <c r="C703" i="2"/>
  <c r="C702" i="2"/>
  <c r="C701" i="2"/>
  <c r="C700" i="2"/>
  <c r="C699" i="2"/>
  <c r="C698" i="2"/>
  <c r="C696" i="2"/>
  <c r="C695" i="2"/>
  <c r="C694" i="2"/>
  <c r="C693" i="2"/>
  <c r="D693" i="2" s="1"/>
  <c r="D694" i="2" s="1"/>
  <c r="D695" i="2" s="1"/>
  <c r="D696" i="2" s="1"/>
  <c r="D697" i="2" s="1"/>
  <c r="D698" i="2" s="1"/>
  <c r="D699" i="2" s="1"/>
  <c r="D700" i="2" s="1"/>
  <c r="D701" i="2" s="1"/>
  <c r="D702" i="2" s="1"/>
  <c r="D703" i="2" s="1"/>
  <c r="D704" i="2" s="1"/>
  <c r="D705" i="2" s="1"/>
  <c r="D706" i="2" s="1"/>
  <c r="D707" i="2" s="1"/>
  <c r="D708" i="2" s="1"/>
  <c r="D709" i="2" s="1"/>
  <c r="D710" i="2" s="1"/>
  <c r="D711" i="2" s="1"/>
  <c r="D712" i="2" s="1"/>
  <c r="D713" i="2" s="1"/>
  <c r="D714" i="2" s="1"/>
  <c r="D715" i="2" s="1"/>
  <c r="D716" i="2" s="1"/>
  <c r="D717" i="2" s="1"/>
  <c r="D718" i="2" s="1"/>
  <c r="D719" i="2" s="1"/>
  <c r="D720" i="2" s="1"/>
  <c r="D721" i="2" s="1"/>
  <c r="D722" i="2" s="1"/>
  <c r="C35" i="6"/>
  <c r="C34" i="6"/>
  <c r="C33" i="6"/>
  <c r="C32" i="6"/>
  <c r="G101" i="3"/>
  <c r="C31" i="6"/>
  <c r="C688" i="2"/>
  <c r="C687" i="2"/>
  <c r="C686" i="2"/>
  <c r="C685" i="2"/>
  <c r="C684" i="2"/>
  <c r="C683" i="2"/>
  <c r="C682" i="2"/>
  <c r="C681" i="2"/>
  <c r="C680" i="2"/>
  <c r="C679" i="2"/>
  <c r="C678" i="2"/>
  <c r="C677" i="2"/>
  <c r="C676" i="2"/>
  <c r="C675" i="2"/>
  <c r="C674" i="2"/>
  <c r="C673" i="2"/>
  <c r="C672" i="2"/>
  <c r="C671" i="2"/>
  <c r="C670" i="2"/>
  <c r="C669" i="2"/>
  <c r="C668" i="2"/>
  <c r="C667" i="2"/>
  <c r="C666" i="2"/>
  <c r="D666" i="2" s="1"/>
  <c r="D667" i="2" s="1"/>
  <c r="D668" i="2" s="1"/>
  <c r="D669" i="2" s="1"/>
  <c r="D670" i="2" s="1"/>
  <c r="C662" i="2"/>
  <c r="C661" i="2"/>
  <c r="C659" i="2"/>
  <c r="C658" i="2"/>
  <c r="C657" i="2"/>
  <c r="C656" i="2"/>
  <c r="C655" i="2"/>
  <c r="C654" i="2"/>
  <c r="C653" i="2"/>
  <c r="C30" i="6"/>
  <c r="C652" i="2"/>
  <c r="C651" i="2"/>
  <c r="C650" i="2"/>
  <c r="C649" i="2"/>
  <c r="C646" i="2"/>
  <c r="C644" i="2"/>
  <c r="C643" i="2"/>
  <c r="C642" i="2"/>
  <c r="C641" i="2"/>
  <c r="C640" i="2"/>
  <c r="C639" i="2"/>
  <c r="C638" i="2"/>
  <c r="C637" i="2"/>
  <c r="C636" i="2"/>
  <c r="C635" i="2"/>
  <c r="C633" i="2"/>
  <c r="D633" i="2" s="1"/>
  <c r="D634" i="2" s="1"/>
  <c r="G103" i="3"/>
  <c r="C29" i="6"/>
  <c r="C630" i="2"/>
  <c r="C629" i="2"/>
  <c r="C628" i="2"/>
  <c r="C627" i="2"/>
  <c r="C626" i="2"/>
  <c r="C625" i="2"/>
  <c r="C624" i="2"/>
  <c r="C623" i="2"/>
  <c r="C622" i="2"/>
  <c r="C621" i="2"/>
  <c r="C620" i="2"/>
  <c r="C619" i="2"/>
  <c r="C618" i="2"/>
  <c r="C617" i="2"/>
  <c r="C616" i="2"/>
  <c r="C615" i="2"/>
  <c r="C614" i="2"/>
  <c r="C613" i="2"/>
  <c r="C612" i="2"/>
  <c r="C611" i="2"/>
  <c r="C610" i="2"/>
  <c r="C608" i="2"/>
  <c r="C607" i="2"/>
  <c r="C606" i="2"/>
  <c r="C605" i="2"/>
  <c r="C604" i="2"/>
  <c r="D604" i="2" s="1"/>
  <c r="D605" i="2" s="1"/>
  <c r="D606" i="2" s="1"/>
  <c r="C28" i="6"/>
  <c r="G107" i="3"/>
  <c r="C27" i="6"/>
  <c r="C26" i="6"/>
  <c r="C25" i="6"/>
  <c r="C24" i="6"/>
  <c r="C23" i="6"/>
  <c r="C22" i="6"/>
  <c r="C21" i="6"/>
  <c r="G119" i="3"/>
  <c r="C20" i="6"/>
  <c r="C19" i="6"/>
  <c r="G115" i="3"/>
  <c r="C18" i="6"/>
  <c r="G121" i="3"/>
  <c r="G120" i="3"/>
  <c r="G116" i="3"/>
  <c r="C17" i="6"/>
  <c r="G118" i="3"/>
  <c r="G113" i="3"/>
  <c r="C16" i="6"/>
  <c r="C15" i="6"/>
  <c r="C14" i="6"/>
  <c r="C13" i="6"/>
  <c r="C12" i="6"/>
  <c r="C11" i="6"/>
  <c r="C10" i="6"/>
  <c r="C9" i="6"/>
  <c r="C8" i="6"/>
  <c r="C7" i="6"/>
  <c r="C6" i="6"/>
  <c r="C5" i="6"/>
  <c r="C4" i="6"/>
  <c r="C3" i="6"/>
  <c r="G123" i="3"/>
  <c r="G127" i="3"/>
  <c r="G122" i="3"/>
  <c r="G126" i="3"/>
  <c r="G132" i="3"/>
  <c r="G114" i="3"/>
  <c r="G130" i="3"/>
  <c r="C601" i="2"/>
  <c r="C600" i="2"/>
  <c r="C598" i="2"/>
  <c r="C597" i="2"/>
  <c r="C596" i="2"/>
  <c r="C595" i="2"/>
  <c r="C594" i="2"/>
  <c r="C593" i="2"/>
  <c r="C592" i="2"/>
  <c r="D591" i="2"/>
  <c r="D592" i="2" s="1"/>
  <c r="D593" i="2" s="1"/>
  <c r="D594" i="2" s="1"/>
  <c r="C586" i="2"/>
  <c r="C585" i="2"/>
  <c r="C583" i="2"/>
  <c r="C582" i="2"/>
  <c r="C581" i="2"/>
  <c r="C580" i="2"/>
  <c r="C579" i="2"/>
  <c r="C578" i="2"/>
  <c r="D577" i="2"/>
  <c r="D578" i="2" s="1"/>
  <c r="D579" i="2" s="1"/>
  <c r="D580" i="2" s="1"/>
  <c r="C573" i="2"/>
  <c r="C572" i="2"/>
  <c r="C571" i="2"/>
  <c r="C570" i="2"/>
  <c r="C569" i="2"/>
  <c r="C568" i="2"/>
  <c r="C567" i="2"/>
  <c r="C566" i="2"/>
  <c r="C565" i="2"/>
  <c r="C564" i="2"/>
  <c r="C563" i="2"/>
  <c r="C562" i="2"/>
  <c r="C561" i="2"/>
  <c r="D561" i="2" s="1"/>
  <c r="D562" i="2" s="1"/>
  <c r="D563" i="2" s="1"/>
  <c r="G124" i="3"/>
  <c r="G112" i="3"/>
  <c r="G133" i="3"/>
  <c r="C557" i="2"/>
  <c r="C556" i="2"/>
  <c r="C554" i="2"/>
  <c r="C553" i="2"/>
  <c r="C552" i="2"/>
  <c r="C551" i="2"/>
  <c r="C550" i="2"/>
  <c r="C549" i="2"/>
  <c r="C547" i="2"/>
  <c r="C546" i="2"/>
  <c r="C545" i="2"/>
  <c r="C544" i="2"/>
  <c r="C543" i="2"/>
  <c r="C542" i="2"/>
  <c r="C541" i="2"/>
  <c r="C540" i="2"/>
  <c r="C539" i="2"/>
  <c r="C538" i="2"/>
  <c r="C536" i="2"/>
  <c r="C535" i="2"/>
  <c r="C534" i="2"/>
  <c r="C533" i="2"/>
  <c r="C532" i="2"/>
  <c r="C530" i="2"/>
  <c r="C529" i="2"/>
  <c r="C527" i="2"/>
  <c r="C526" i="2"/>
  <c r="C524" i="2"/>
  <c r="C523" i="2"/>
  <c r="C522" i="2"/>
  <c r="C520" i="2"/>
  <c r="C519" i="2"/>
  <c r="C518" i="2"/>
  <c r="D518" i="2" s="1"/>
  <c r="D519" i="2" s="1"/>
  <c r="D520" i="2" s="1"/>
  <c r="D521" i="2" s="1"/>
  <c r="G136" i="3"/>
  <c r="G128" i="3"/>
  <c r="D671" i="2" l="1"/>
  <c r="D672" i="2" s="1"/>
  <c r="D595" i="2"/>
  <c r="D596" i="2" s="1"/>
  <c r="D597" i="2" s="1"/>
  <c r="D598" i="2" s="1"/>
  <c r="D599" i="2" s="1"/>
  <c r="D600" i="2" s="1"/>
  <c r="D601" i="2" s="1"/>
  <c r="D522" i="2"/>
  <c r="D523" i="2" s="1"/>
  <c r="D524" i="2" s="1"/>
  <c r="D525" i="2" s="1"/>
  <c r="D526" i="2" s="1"/>
  <c r="D527" i="2" s="1"/>
  <c r="D528" i="2" s="1"/>
  <c r="D529" i="2" s="1"/>
  <c r="D530" i="2" s="1"/>
  <c r="D531" i="2" s="1"/>
  <c r="D532" i="2" s="1"/>
  <c r="D533" i="2" s="1"/>
  <c r="D534" i="2" s="1"/>
  <c r="D535" i="2" s="1"/>
  <c r="D536" i="2" s="1"/>
  <c r="D537" i="2" s="1"/>
  <c r="D538" i="2" s="1"/>
  <c r="D539" i="2" s="1"/>
  <c r="D540" i="2" s="1"/>
  <c r="D541" i="2" s="1"/>
  <c r="D542" i="2" s="1"/>
  <c r="D543" i="2" s="1"/>
  <c r="D544" i="2" s="1"/>
  <c r="D545" i="2" s="1"/>
  <c r="D546" i="2" s="1"/>
  <c r="D547" i="2" s="1"/>
  <c r="D548" i="2" s="1"/>
  <c r="D549" i="2" s="1"/>
  <c r="D550" i="2" s="1"/>
  <c r="D551" i="2" s="1"/>
  <c r="D552" i="2" s="1"/>
  <c r="D553" i="2" s="1"/>
  <c r="D554" i="2" s="1"/>
  <c r="D555" i="2" s="1"/>
  <c r="D556" i="2" s="1"/>
  <c r="D557" i="2" s="1"/>
  <c r="D581" i="2"/>
  <c r="D582" i="2" s="1"/>
  <c r="D583" i="2" s="1"/>
  <c r="D584" i="2" s="1"/>
  <c r="D585" i="2" s="1"/>
  <c r="D586" i="2" s="1"/>
  <c r="D673" i="2"/>
  <c r="D674" i="2" s="1"/>
  <c r="D675" i="2" s="1"/>
  <c r="D676" i="2" s="1"/>
  <c r="D677" i="2" s="1"/>
  <c r="D678" i="2" s="1"/>
  <c r="D679" i="2" s="1"/>
  <c r="D680" i="2" s="1"/>
  <c r="D681" i="2" s="1"/>
  <c r="D682" i="2" s="1"/>
  <c r="D683" i="2" s="1"/>
  <c r="D684" i="2" s="1"/>
  <c r="D685" i="2" s="1"/>
  <c r="D686" i="2" s="1"/>
  <c r="D687" i="2" s="1"/>
  <c r="D688" i="2" s="1"/>
  <c r="D607" i="2"/>
  <c r="D608" i="2" s="1"/>
  <c r="D609" i="2" s="1"/>
  <c r="D610" i="2" s="1"/>
  <c r="D611" i="2" s="1"/>
  <c r="D612" i="2" s="1"/>
  <c r="D613" i="2" s="1"/>
  <c r="D614" i="2" s="1"/>
  <c r="D615" i="2" s="1"/>
  <c r="D616" i="2" s="1"/>
  <c r="D617" i="2" s="1"/>
  <c r="D618" i="2" s="1"/>
  <c r="D619" i="2" s="1"/>
  <c r="D620" i="2" s="1"/>
  <c r="D621" i="2" s="1"/>
  <c r="D622" i="2" s="1"/>
  <c r="D623" i="2" s="1"/>
  <c r="D624" i="2" s="1"/>
  <c r="D625" i="2" s="1"/>
  <c r="D626" i="2" s="1"/>
  <c r="D627" i="2" s="1"/>
  <c r="D628" i="2" s="1"/>
  <c r="D629" i="2" s="1"/>
  <c r="D630" i="2" s="1"/>
  <c r="D564" i="2"/>
  <c r="D565" i="2" s="1"/>
  <c r="D566" i="2" s="1"/>
  <c r="D567" i="2" s="1"/>
  <c r="D568" i="2" s="1"/>
  <c r="D569" i="2" s="1"/>
  <c r="D570" i="2" s="1"/>
  <c r="D571" i="2" s="1"/>
  <c r="D572" i="2" s="1"/>
  <c r="D573" i="2" s="1"/>
  <c r="D635" i="2"/>
  <c r="D636" i="2" s="1"/>
  <c r="D637" i="2" s="1"/>
  <c r="D638" i="2" s="1"/>
  <c r="D639" i="2" s="1"/>
  <c r="D640" i="2" s="1"/>
  <c r="D641" i="2" s="1"/>
  <c r="D642" i="2" s="1"/>
  <c r="D643" i="2" s="1"/>
  <c r="D644" i="2" s="1"/>
  <c r="D645" i="2" s="1"/>
  <c r="D646" i="2" s="1"/>
  <c r="D647" i="2" s="1"/>
  <c r="D648" i="2" s="1"/>
  <c r="D649" i="2" s="1"/>
  <c r="D650" i="2" s="1"/>
  <c r="D651" i="2" s="1"/>
  <c r="D652" i="2" s="1"/>
  <c r="D653" i="2" s="1"/>
  <c r="D654" i="2" s="1"/>
  <c r="D655" i="2" s="1"/>
  <c r="D656" i="2" s="1"/>
  <c r="D657" i="2" s="1"/>
  <c r="D658" i="2" s="1"/>
  <c r="D659" i="2" s="1"/>
  <c r="D660" i="2" s="1"/>
  <c r="D661" i="2" s="1"/>
  <c r="D662" i="2" s="1"/>
  <c r="G134" i="3"/>
  <c r="C515" i="2"/>
  <c r="C514" i="2"/>
  <c r="C513" i="2"/>
  <c r="C512" i="2"/>
  <c r="C511" i="2"/>
  <c r="C510" i="2"/>
  <c r="C509" i="2"/>
  <c r="C508" i="2"/>
  <c r="C507" i="2"/>
  <c r="C506" i="2"/>
  <c r="C504" i="2"/>
  <c r="C503" i="2"/>
  <c r="C502" i="2"/>
  <c r="C501" i="2"/>
  <c r="C500" i="2"/>
  <c r="C498" i="2"/>
  <c r="C496" i="2"/>
  <c r="C495" i="2"/>
  <c r="C494" i="2"/>
  <c r="C492" i="2"/>
  <c r="C491" i="2"/>
  <c r="C490" i="2"/>
  <c r="C489" i="2"/>
  <c r="C488" i="2"/>
  <c r="C487" i="2"/>
  <c r="D487" i="2" s="1"/>
  <c r="D488" i="2" s="1"/>
  <c r="D489" i="2" s="1"/>
  <c r="D490" i="2" s="1"/>
  <c r="D491" i="2" s="1"/>
  <c r="D492" i="2" s="1"/>
  <c r="D493" i="2" s="1"/>
  <c r="D494" i="2" s="1"/>
  <c r="D495" i="2" s="1"/>
  <c r="D496" i="2" s="1"/>
  <c r="D497" i="2" s="1"/>
  <c r="D498" i="2" s="1"/>
  <c r="D499" i="2" s="1"/>
  <c r="D500" i="2" s="1"/>
  <c r="D501" i="2" s="1"/>
  <c r="D502" i="2" s="1"/>
  <c r="G129" i="3"/>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D445" i="2" s="1"/>
  <c r="D446" i="2" s="1"/>
  <c r="D447" i="2" s="1"/>
  <c r="D448" i="2" s="1"/>
  <c r="D449" i="2" s="1"/>
  <c r="D450" i="2" s="1"/>
  <c r="D451" i="2" s="1"/>
  <c r="D452" i="2" s="1"/>
  <c r="D453" i="2" s="1"/>
  <c r="D454" i="2" s="1"/>
  <c r="D455" i="2" s="1"/>
  <c r="D456" i="2" s="1"/>
  <c r="D457" i="2" s="1"/>
  <c r="D458" i="2" s="1"/>
  <c r="D459" i="2" s="1"/>
  <c r="D460" i="2" s="1"/>
  <c r="D461" i="2" s="1"/>
  <c r="D462" i="2" s="1"/>
  <c r="D463" i="2" s="1"/>
  <c r="D464" i="2" s="1"/>
  <c r="D465" i="2" s="1"/>
  <c r="D466" i="2" s="1"/>
  <c r="D467" i="2" s="1"/>
  <c r="D468" i="2" s="1"/>
  <c r="D469" i="2" s="1"/>
  <c r="D470" i="2" s="1"/>
  <c r="D471" i="2" s="1"/>
  <c r="D472" i="2" s="1"/>
  <c r="D473" i="2" s="1"/>
  <c r="D474" i="2" s="1"/>
  <c r="D475" i="2" s="1"/>
  <c r="D476" i="2" s="1"/>
  <c r="D477" i="2" s="1"/>
  <c r="D478" i="2" s="1"/>
  <c r="D479" i="2" s="1"/>
  <c r="D480" i="2" s="1"/>
  <c r="D481" i="2" s="1"/>
  <c r="D482" i="2" s="1"/>
  <c r="D483" i="2" s="1"/>
  <c r="D484" i="2" s="1"/>
  <c r="G137" i="3"/>
  <c r="G138" i="3"/>
  <c r="G141" i="3"/>
  <c r="G135" i="3"/>
  <c r="G139" i="3"/>
  <c r="G142" i="3"/>
  <c r="C441" i="2"/>
  <c r="C440" i="2"/>
  <c r="C439" i="2"/>
  <c r="C438" i="2"/>
  <c r="D438" i="2" s="1"/>
  <c r="D439" i="2" s="1"/>
  <c r="D440" i="2" s="1"/>
  <c r="D441" i="2" s="1"/>
  <c r="G144" i="3"/>
  <c r="G131" i="3"/>
  <c r="G125" i="3"/>
  <c r="G147" i="3"/>
  <c r="G146" i="3"/>
  <c r="G145" i="3"/>
  <c r="G148" i="3"/>
  <c r="G149" i="3"/>
  <c r="D503" i="2" l="1"/>
  <c r="D504" i="2" s="1"/>
  <c r="D505" i="2" s="1"/>
  <c r="D506" i="2" s="1"/>
  <c r="D507" i="2" s="1"/>
  <c r="D508" i="2" s="1"/>
  <c r="D509" i="2" s="1"/>
  <c r="D510" i="2" s="1"/>
  <c r="D511" i="2" s="1"/>
  <c r="D512" i="2" s="1"/>
  <c r="D513" i="2" s="1"/>
  <c r="D514" i="2" s="1"/>
  <c r="D515" i="2" s="1"/>
  <c r="G143" i="3"/>
  <c r="G152" i="3"/>
  <c r="G153" i="3"/>
  <c r="G154" i="3"/>
  <c r="G155" i="3"/>
  <c r="G156" i="3"/>
  <c r="G157" i="3"/>
  <c r="G159" i="3"/>
  <c r="G158" i="3"/>
  <c r="G160" i="3"/>
  <c r="G161" i="3"/>
  <c r="G140" i="3"/>
  <c r="G150" i="3"/>
  <c r="G151" i="3"/>
  <c r="C434" i="2"/>
  <c r="C432" i="2"/>
  <c r="C431" i="2"/>
  <c r="C430" i="2"/>
  <c r="C429" i="2"/>
  <c r="C428" i="2"/>
  <c r="C427" i="2"/>
  <c r="C426" i="2"/>
  <c r="C425" i="2"/>
  <c r="C424" i="2"/>
  <c r="C423" i="2"/>
  <c r="C422" i="2"/>
  <c r="C421" i="2"/>
  <c r="C420" i="2"/>
  <c r="C419" i="2"/>
  <c r="C418" i="2"/>
  <c r="D418" i="2" s="1"/>
  <c r="D419" i="2" s="1"/>
  <c r="D420" i="2" s="1"/>
  <c r="D421" i="2" s="1"/>
  <c r="D422" i="2" s="1"/>
  <c r="D423" i="2" s="1"/>
  <c r="D424" i="2" s="1"/>
  <c r="D425" i="2" s="1"/>
  <c r="D426" i="2" s="1"/>
  <c r="D427" i="2" s="1"/>
  <c r="D428" i="2" s="1"/>
  <c r="C415" i="2"/>
  <c r="C414" i="2"/>
  <c r="C413" i="2"/>
  <c r="C411" i="2"/>
  <c r="C410" i="2"/>
  <c r="C409" i="2"/>
  <c r="C408" i="2"/>
  <c r="C407" i="2"/>
  <c r="C406" i="2"/>
  <c r="C405" i="2"/>
  <c r="C404" i="2"/>
  <c r="C403" i="2"/>
  <c r="C401" i="2"/>
  <c r="C398" i="2"/>
  <c r="C397" i="2"/>
  <c r="C396" i="2"/>
  <c r="C395" i="2"/>
  <c r="C394" i="2"/>
  <c r="C393" i="2"/>
  <c r="C392" i="2"/>
  <c r="C391" i="2"/>
  <c r="C390" i="2"/>
  <c r="C389" i="2"/>
  <c r="C388" i="2"/>
  <c r="C387" i="2"/>
  <c r="D387" i="2" s="1"/>
  <c r="D388" i="2" s="1"/>
  <c r="D389" i="2" s="1"/>
  <c r="D390" i="2" s="1"/>
  <c r="D391" i="2" s="1"/>
  <c r="D392" i="2" s="1"/>
  <c r="D393" i="2" s="1"/>
  <c r="D394" i="2" s="1"/>
  <c r="D395" i="2" s="1"/>
  <c r="D396" i="2" s="1"/>
  <c r="D397" i="2" s="1"/>
  <c r="D398" i="2" s="1"/>
  <c r="D399" i="2" s="1"/>
  <c r="D400" i="2" s="1"/>
  <c r="D401" i="2" s="1"/>
  <c r="D402" i="2" s="1"/>
  <c r="D403" i="2" s="1"/>
  <c r="D404" i="2" s="1"/>
  <c r="D405" i="2" s="1"/>
  <c r="D406" i="2" s="1"/>
  <c r="D407" i="2" s="1"/>
  <c r="D408" i="2" s="1"/>
  <c r="D409" i="2" s="1"/>
  <c r="D410" i="2" s="1"/>
  <c r="D411" i="2" s="1"/>
  <c r="D412" i="2" s="1"/>
  <c r="D413" i="2" s="1"/>
  <c r="D414" i="2" s="1"/>
  <c r="D415" i="2" s="1"/>
  <c r="D429" i="2" l="1"/>
  <c r="D430" i="2" s="1"/>
  <c r="D431" i="2" s="1"/>
  <c r="D432" i="2" s="1"/>
  <c r="D433" i="2" s="1"/>
  <c r="D434" i="2" s="1"/>
  <c r="C383" i="2"/>
  <c r="C382" i="2"/>
  <c r="C381" i="2"/>
  <c r="C380" i="2"/>
  <c r="C379" i="2"/>
  <c r="C378" i="2"/>
  <c r="C377" i="2"/>
  <c r="C376" i="2"/>
  <c r="D376" i="2" s="1"/>
  <c r="D377" i="2" s="1"/>
  <c r="D378" i="2" s="1"/>
  <c r="D379" i="2" s="1"/>
  <c r="D380" i="2" s="1"/>
  <c r="D381" i="2" s="1"/>
  <c r="D382" i="2" s="1"/>
  <c r="D383" i="2" s="1"/>
  <c r="C372" i="2"/>
  <c r="C371" i="2"/>
  <c r="C370" i="2"/>
  <c r="C369" i="2"/>
  <c r="C368" i="2"/>
  <c r="C367" i="2"/>
  <c r="C366" i="2"/>
  <c r="C365" i="2"/>
  <c r="C364" i="2"/>
  <c r="C363" i="2"/>
  <c r="C362" i="2"/>
  <c r="C361" i="2"/>
  <c r="D361" i="2" s="1"/>
  <c r="C357" i="2"/>
  <c r="C356" i="2"/>
  <c r="C355" i="2"/>
  <c r="C354" i="2"/>
  <c r="C353" i="2"/>
  <c r="C352" i="2"/>
  <c r="C351" i="2"/>
  <c r="C350" i="2"/>
  <c r="C349" i="2"/>
  <c r="C348" i="2"/>
  <c r="C347" i="2"/>
  <c r="C346" i="2"/>
  <c r="C345" i="2"/>
  <c r="C344" i="2"/>
  <c r="C343" i="2"/>
  <c r="C342" i="2"/>
  <c r="C341" i="2"/>
  <c r="C340" i="2"/>
  <c r="C339" i="2"/>
  <c r="C338" i="2"/>
  <c r="C337" i="2"/>
  <c r="C336" i="2"/>
  <c r="C335" i="2"/>
  <c r="D335" i="2" s="1"/>
  <c r="D336" i="2" s="1"/>
  <c r="D337" i="2" s="1"/>
  <c r="D338" i="2" s="1"/>
  <c r="C332" i="2"/>
  <c r="C331" i="2"/>
  <c r="C330" i="2"/>
  <c r="C329" i="2"/>
  <c r="C328" i="2"/>
  <c r="C327" i="2"/>
  <c r="C326" i="2"/>
  <c r="C325" i="2"/>
  <c r="C324" i="2"/>
  <c r="C323" i="2"/>
  <c r="C322" i="2"/>
  <c r="C321" i="2"/>
  <c r="C320" i="2"/>
  <c r="C319" i="2"/>
  <c r="C318" i="2"/>
  <c r="C317" i="2"/>
  <c r="C316" i="2"/>
  <c r="C315" i="2"/>
  <c r="C314" i="2"/>
  <c r="C313" i="2"/>
  <c r="C312" i="2"/>
  <c r="C311" i="2"/>
  <c r="C310" i="2"/>
  <c r="D310" i="2" s="1"/>
  <c r="D311" i="2" s="1"/>
  <c r="D312" i="2" s="1"/>
  <c r="D313" i="2" s="1"/>
  <c r="D314" i="2" s="1"/>
  <c r="D315" i="2" s="1"/>
  <c r="D316" i="2" s="1"/>
  <c r="C306" i="2"/>
  <c r="C305" i="2"/>
  <c r="C304" i="2"/>
  <c r="C303" i="2"/>
  <c r="C302" i="2"/>
  <c r="C301" i="2"/>
  <c r="C300" i="2"/>
  <c r="C299" i="2"/>
  <c r="C298" i="2"/>
  <c r="C297" i="2"/>
  <c r="D297" i="2" s="1"/>
  <c r="D298" i="2" s="1"/>
  <c r="D299" i="2" s="1"/>
  <c r="D300" i="2" s="1"/>
  <c r="D301" i="2" s="1"/>
  <c r="D302" i="2" s="1"/>
  <c r="D303" i="2" s="1"/>
  <c r="D304" i="2" s="1"/>
  <c r="D305" i="2" s="1"/>
  <c r="D306" i="2" s="1"/>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D268" i="2" s="1"/>
  <c r="D269" i="2" s="1"/>
  <c r="D270" i="2" s="1"/>
  <c r="D271" i="2" s="1"/>
  <c r="D272" i="2" s="1"/>
  <c r="D273" i="2" s="1"/>
  <c r="D274" i="2" s="1"/>
  <c r="D275" i="2" s="1"/>
  <c r="D276" i="2" s="1"/>
  <c r="D277" i="2" s="1"/>
  <c r="D278" i="2" s="1"/>
  <c r="D279" i="2" s="1"/>
  <c r="D280" i="2" s="1"/>
  <c r="D281" i="2" s="1"/>
  <c r="D282" i="2" s="1"/>
  <c r="D283" i="2" s="1"/>
  <c r="D284" i="2" s="1"/>
  <c r="D285" i="2" s="1"/>
  <c r="D286" i="2" s="1"/>
  <c r="D287" i="2" s="1"/>
  <c r="D288" i="2" s="1"/>
  <c r="D289" i="2" s="1"/>
  <c r="D290" i="2" s="1"/>
  <c r="C3" i="2"/>
  <c r="C4" i="2"/>
  <c r="C5" i="2"/>
  <c r="C6" i="2"/>
  <c r="C7" i="2"/>
  <c r="C8" i="2"/>
  <c r="C9" i="2"/>
  <c r="C10" i="2"/>
  <c r="C11" i="2"/>
  <c r="C12" i="2"/>
  <c r="C13" i="2"/>
  <c r="C14" i="2"/>
  <c r="C15" i="2"/>
  <c r="C16" i="2"/>
  <c r="C17" i="2"/>
  <c r="C18" i="2"/>
  <c r="C19" i="2"/>
  <c r="C20" i="2"/>
  <c r="C21" i="2"/>
  <c r="C22" i="2"/>
  <c r="C23" i="2"/>
  <c r="C24" i="2"/>
  <c r="C25" i="2"/>
  <c r="C26" i="2"/>
  <c r="C30" i="2"/>
  <c r="C31" i="2"/>
  <c r="C32" i="2"/>
  <c r="C33" i="2"/>
  <c r="C34" i="2"/>
  <c r="C35" i="2"/>
  <c r="C36" i="2"/>
  <c r="C37" i="2"/>
  <c r="C38" i="2"/>
  <c r="C39" i="2"/>
  <c r="C40" i="2"/>
  <c r="C41"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4" i="2"/>
  <c r="C95" i="2"/>
  <c r="C96" i="2"/>
  <c r="C97" i="2"/>
  <c r="C98" i="2"/>
  <c r="C99" i="2"/>
  <c r="C100" i="2"/>
  <c r="C101" i="2"/>
  <c r="C102" i="2"/>
  <c r="C103" i="2"/>
  <c r="C104" i="2"/>
  <c r="C105" i="2"/>
  <c r="C106" i="2"/>
  <c r="C107" i="2"/>
  <c r="C108" i="2"/>
  <c r="C109" i="2"/>
  <c r="C110" i="2"/>
  <c r="C111" i="2"/>
  <c r="C112" i="2"/>
  <c r="C113" i="2"/>
  <c r="C114" i="2"/>
  <c r="C115" i="2"/>
  <c r="C116"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9" i="2"/>
  <c r="C170" i="2"/>
  <c r="C171" i="2"/>
  <c r="C172" i="2"/>
  <c r="C173" i="2"/>
  <c r="C174" i="2"/>
  <c r="C175" i="2"/>
  <c r="C176" i="2"/>
  <c r="C177" i="2"/>
  <c r="C178" i="2"/>
  <c r="C179" i="2"/>
  <c r="C180" i="2"/>
  <c r="C183" i="2"/>
  <c r="C184" i="2"/>
  <c r="C185" i="2"/>
  <c r="C186" i="2"/>
  <c r="C187" i="2"/>
  <c r="C188" i="2"/>
  <c r="C189" i="2"/>
  <c r="C190" i="2"/>
  <c r="C191" i="2"/>
  <c r="C192" i="2"/>
  <c r="C193" i="2"/>
  <c r="C194" i="2"/>
  <c r="C195" i="2"/>
  <c r="C196" i="2"/>
  <c r="C197" i="2"/>
  <c r="C198" i="2"/>
  <c r="C199" i="2"/>
  <c r="C200" i="2"/>
  <c r="C201" i="2"/>
  <c r="C202" i="2"/>
  <c r="C203" i="2"/>
  <c r="C204" i="2"/>
  <c r="C205" i="2"/>
  <c r="C208" i="2"/>
  <c r="C209" i="2"/>
  <c r="C210" i="2"/>
  <c r="C211" i="2"/>
  <c r="C212" i="2"/>
  <c r="C213" i="2"/>
  <c r="C214" i="2"/>
  <c r="C217" i="2"/>
  <c r="C218" i="2"/>
  <c r="C219" i="2"/>
  <c r="C220" i="2"/>
  <c r="C221" i="2"/>
  <c r="C222" i="2"/>
  <c r="C223" i="2"/>
  <c r="C224" i="2"/>
  <c r="C225" i="2"/>
  <c r="C228" i="2"/>
  <c r="D228" i="2" s="1"/>
  <c r="C229" i="2"/>
  <c r="C230" i="2"/>
  <c r="C231" i="2"/>
  <c r="C232" i="2"/>
  <c r="C233" i="2"/>
  <c r="C234" i="2"/>
  <c r="C235" i="2"/>
  <c r="C236" i="2"/>
  <c r="C237" i="2"/>
  <c r="C238" i="2"/>
  <c r="C239" i="2"/>
  <c r="C240" i="2"/>
  <c r="C241" i="2"/>
  <c r="C242" i="2"/>
  <c r="C243" i="2"/>
  <c r="C247" i="2"/>
  <c r="D247" i="2" s="1"/>
  <c r="C248" i="2"/>
  <c r="C249" i="2"/>
  <c r="C250" i="2"/>
  <c r="C251" i="2"/>
  <c r="C252" i="2"/>
  <c r="C253" i="2"/>
  <c r="C254" i="2"/>
  <c r="C255" i="2"/>
  <c r="C256" i="2"/>
  <c r="C257" i="2"/>
  <c r="C258" i="2"/>
  <c r="C259" i="2"/>
  <c r="C260" i="2"/>
  <c r="C261" i="2"/>
  <c r="C262" i="2"/>
  <c r="C263" i="2"/>
  <c r="C264" i="2"/>
  <c r="C265" i="2"/>
  <c r="D339" i="2" l="1"/>
  <c r="D340" i="2" s="1"/>
  <c r="D341" i="2" s="1"/>
  <c r="D342" i="2" s="1"/>
  <c r="D343" i="2" s="1"/>
  <c r="D344" i="2" s="1"/>
  <c r="D345" i="2" s="1"/>
  <c r="D346" i="2" s="1"/>
  <c r="D347" i="2" s="1"/>
  <c r="D348" i="2" s="1"/>
  <c r="D349" i="2" s="1"/>
  <c r="D350" i="2" s="1"/>
  <c r="D351" i="2" s="1"/>
  <c r="D352" i="2" s="1"/>
  <c r="D353" i="2" s="1"/>
  <c r="D354" i="2" s="1"/>
  <c r="D355" i="2" s="1"/>
  <c r="D356" i="2" s="1"/>
  <c r="D357" i="2" s="1"/>
  <c r="D317" i="2"/>
  <c r="D318" i="2" s="1"/>
  <c r="D319" i="2" s="1"/>
  <c r="D320" i="2" s="1"/>
  <c r="D321" i="2" s="1"/>
  <c r="D322" i="2" s="1"/>
  <c r="D323" i="2" s="1"/>
  <c r="D324" i="2" s="1"/>
  <c r="D325" i="2" s="1"/>
  <c r="D326" i="2" s="1"/>
  <c r="D327" i="2" s="1"/>
  <c r="D328" i="2" s="1"/>
  <c r="D329" i="2" s="1"/>
  <c r="D330" i="2" s="1"/>
  <c r="D331" i="2" s="1"/>
  <c r="D332" i="2" s="1"/>
  <c r="D248" i="2"/>
  <c r="D249" i="2" s="1"/>
  <c r="D250" i="2" s="1"/>
  <c r="D251" i="2" s="1"/>
  <c r="D252" i="2" s="1"/>
  <c r="D253" i="2" s="1"/>
  <c r="D254" i="2" s="1"/>
  <c r="D255" i="2" s="1"/>
  <c r="D256" i="2" s="1"/>
  <c r="D257" i="2" s="1"/>
  <c r="D258" i="2" s="1"/>
  <c r="D259" i="2" s="1"/>
  <c r="D260" i="2" s="1"/>
  <c r="D261" i="2" s="1"/>
  <c r="D262" i="2" s="1"/>
  <c r="D263" i="2" s="1"/>
  <c r="D264" i="2" s="1"/>
  <c r="D265" i="2" s="1"/>
  <c r="D229" i="2"/>
  <c r="D230" i="2" s="1"/>
  <c r="D231" i="2" s="1"/>
  <c r="D232" i="2" s="1"/>
  <c r="D233" i="2" s="1"/>
  <c r="D234" i="2" s="1"/>
  <c r="D235" i="2" s="1"/>
  <c r="D236" i="2" s="1"/>
  <c r="D237" i="2" s="1"/>
  <c r="D238" i="2" s="1"/>
  <c r="D239" i="2" s="1"/>
  <c r="D240" i="2" s="1"/>
  <c r="D241" i="2" s="1"/>
  <c r="D242" i="2" s="1"/>
  <c r="D243" i="2" s="1"/>
  <c r="D362" i="2"/>
  <c r="D363" i="2" s="1"/>
  <c r="D364" i="2" s="1"/>
  <c r="D365" i="2" s="1"/>
  <c r="D366" i="2" s="1"/>
  <c r="D367" i="2" s="1"/>
  <c r="D368" i="2" s="1"/>
  <c r="D369" i="2" s="1"/>
  <c r="D370" i="2" s="1"/>
  <c r="D371" i="2" s="1"/>
  <c r="D372" i="2" s="1"/>
  <c r="D291" i="2"/>
  <c r="D292" i="2" s="1"/>
  <c r="D293" i="2" s="1"/>
  <c r="D217" i="2"/>
  <c r="D218" i="2" s="1"/>
  <c r="D219" i="2" s="1"/>
  <c r="D220" i="2" s="1"/>
  <c r="D221" i="2" s="1"/>
  <c r="D222" i="2" s="1"/>
  <c r="D223" i="2" s="1"/>
  <c r="D224" i="2" s="1"/>
  <c r="D225" i="2" s="1"/>
  <c r="D208" i="2"/>
  <c r="D209" i="2" s="1"/>
  <c r="D210" i="2" s="1"/>
  <c r="D211" i="2" s="1"/>
  <c r="D212" i="2" s="1"/>
  <c r="D213" i="2" s="1"/>
  <c r="D214" i="2" s="1"/>
  <c r="D183" i="2"/>
  <c r="D184" i="2" s="1"/>
  <c r="D185" i="2" s="1"/>
  <c r="D186" i="2" s="1"/>
  <c r="D187" i="2" s="1"/>
  <c r="D188" i="2" s="1"/>
  <c r="D189" i="2" s="1"/>
  <c r="D190" i="2" s="1"/>
  <c r="D191" i="2" s="1"/>
  <c r="D192" i="2" s="1"/>
  <c r="D193" i="2" s="1"/>
  <c r="D194" i="2" s="1"/>
  <c r="D195" i="2" s="1"/>
  <c r="D196" i="2" s="1"/>
  <c r="D197" i="2" s="1"/>
  <c r="D198" i="2" s="1"/>
  <c r="D199" i="2" s="1"/>
  <c r="D200" i="2" s="1"/>
  <c r="D201" i="2" s="1"/>
  <c r="D202" i="2" s="1"/>
  <c r="D203" i="2" s="1"/>
  <c r="D204" i="2" s="1"/>
  <c r="D205" i="2" s="1"/>
  <c r="D169" i="2"/>
  <c r="D170" i="2" s="1"/>
  <c r="D171" i="2" s="1"/>
  <c r="D172" i="2" s="1"/>
  <c r="D173" i="2" s="1"/>
  <c r="D174" i="2" s="1"/>
  <c r="D175" i="2" s="1"/>
  <c r="D176" i="2" s="1"/>
  <c r="D177" i="2" s="1"/>
  <c r="D178" i="2" s="1"/>
  <c r="D179" i="2" s="1"/>
  <c r="D180" i="2" s="1"/>
  <c r="D119" i="2"/>
  <c r="D120" i="2" s="1"/>
  <c r="D121" i="2" s="1"/>
  <c r="D122" i="2" s="1"/>
  <c r="D123" i="2" s="1"/>
  <c r="D124" i="2" s="1"/>
  <c r="D125" i="2" s="1"/>
  <c r="D126" i="2" s="1"/>
  <c r="D127" i="2" s="1"/>
  <c r="D128" i="2" s="1"/>
  <c r="D129" i="2" s="1"/>
  <c r="D130" i="2" s="1"/>
  <c r="D131" i="2" s="1"/>
  <c r="D132" i="2" s="1"/>
  <c r="D133" i="2" s="1"/>
  <c r="D134" i="2" s="1"/>
  <c r="D135" i="2" s="1"/>
  <c r="D136" i="2" s="1"/>
  <c r="D137" i="2" s="1"/>
  <c r="D138" i="2" s="1"/>
  <c r="D139" i="2" s="1"/>
  <c r="D140" i="2" s="1"/>
  <c r="D141" i="2" s="1"/>
  <c r="D142" i="2" s="1"/>
  <c r="D143" i="2" s="1"/>
  <c r="D144" i="2" s="1"/>
  <c r="D145" i="2" s="1"/>
  <c r="D146" i="2" s="1"/>
  <c r="D147" i="2" s="1"/>
  <c r="D148" i="2" s="1"/>
  <c r="D149" i="2" s="1"/>
  <c r="D150" i="2" s="1"/>
  <c r="D151" i="2" s="1"/>
  <c r="D152" i="2" s="1"/>
  <c r="D153" i="2" s="1"/>
  <c r="D154" i="2" s="1"/>
  <c r="D155" i="2" s="1"/>
  <c r="D156" i="2" s="1"/>
  <c r="D157" i="2" s="1"/>
  <c r="D158" i="2" s="1"/>
  <c r="D159" i="2" s="1"/>
  <c r="D160" i="2" s="1"/>
  <c r="D161" i="2" s="1"/>
  <c r="D162" i="2" s="1"/>
  <c r="D163" i="2" s="1"/>
  <c r="D164" i="2" s="1"/>
  <c r="D165" i="2" s="1"/>
  <c r="D166" i="2" s="1"/>
  <c r="D94" i="2"/>
  <c r="D95" i="2" s="1"/>
  <c r="D96" i="2" s="1"/>
  <c r="D97" i="2" s="1"/>
  <c r="D98" i="2" s="1"/>
  <c r="D99" i="2" s="1"/>
  <c r="D100" i="2" s="1"/>
  <c r="D101" i="2" s="1"/>
  <c r="D102" i="2" s="1"/>
  <c r="D103" i="2" s="1"/>
  <c r="D104" i="2" s="1"/>
  <c r="D105" i="2" s="1"/>
  <c r="D106" i="2" s="1"/>
  <c r="D107" i="2" s="1"/>
  <c r="D108" i="2" s="1"/>
  <c r="D109" i="2" s="1"/>
  <c r="D110" i="2" s="1"/>
  <c r="D111" i="2" s="1"/>
  <c r="D112" i="2" s="1"/>
  <c r="D113" i="2" s="1"/>
  <c r="D114" i="2" s="1"/>
  <c r="D115" i="2" s="1"/>
  <c r="D116" i="2" s="1"/>
  <c r="D44" i="2"/>
  <c r="D45" i="2" s="1"/>
  <c r="D46" i="2" s="1"/>
  <c r="D47" i="2" s="1"/>
  <c r="D48" i="2" s="1"/>
  <c r="D49" i="2" s="1"/>
  <c r="D50" i="2" s="1"/>
  <c r="D51" i="2" s="1"/>
  <c r="D52" i="2" s="1"/>
  <c r="D53" i="2" s="1"/>
  <c r="D54" i="2" s="1"/>
  <c r="D55" i="2" s="1"/>
  <c r="D56" i="2" s="1"/>
  <c r="D57" i="2" s="1"/>
  <c r="D58" i="2" s="1"/>
  <c r="D59" i="2" s="1"/>
  <c r="D60" i="2" s="1"/>
  <c r="D61" i="2" s="1"/>
  <c r="D62" i="2" s="1"/>
  <c r="D63" i="2" s="1"/>
  <c r="D64" i="2" s="1"/>
  <c r="D65" i="2" s="1"/>
  <c r="D66" i="2" s="1"/>
  <c r="D67" i="2" s="1"/>
  <c r="D68" i="2" s="1"/>
  <c r="D69" i="2" s="1"/>
  <c r="D70" i="2" s="1"/>
  <c r="D71" i="2" s="1"/>
  <c r="D72" i="2" s="1"/>
  <c r="D73" i="2" s="1"/>
  <c r="D74" i="2" s="1"/>
  <c r="D75" i="2" s="1"/>
  <c r="D76" i="2" s="1"/>
  <c r="D77" i="2" s="1"/>
  <c r="D78" i="2" s="1"/>
  <c r="D79" i="2" s="1"/>
  <c r="D80" i="2" s="1"/>
  <c r="D81" i="2" s="1"/>
  <c r="D82" i="2" s="1"/>
  <c r="D83" i="2" s="1"/>
  <c r="D84" i="2" s="1"/>
  <c r="D85" i="2" s="1"/>
  <c r="D86" i="2" s="1"/>
  <c r="D87" i="2" s="1"/>
  <c r="D88" i="2" s="1"/>
  <c r="D89" i="2" s="1"/>
  <c r="D90" i="2" s="1"/>
  <c r="D30" i="2"/>
  <c r="D31" i="2" s="1"/>
  <c r="D32" i="2" s="1"/>
  <c r="D33" i="2" s="1"/>
  <c r="D34" i="2" s="1"/>
  <c r="D35" i="2" s="1"/>
  <c r="D36" i="2" s="1"/>
  <c r="D37" i="2" s="1"/>
  <c r="D38" i="2" s="1"/>
  <c r="D39" i="2" s="1"/>
  <c r="D40" i="2" s="1"/>
  <c r="D41" i="2" s="1"/>
  <c r="D3" i="2"/>
  <c r="D4" i="2" s="1"/>
  <c r="D5" i="2" s="1"/>
  <c r="D6" i="2" s="1"/>
  <c r="D7" i="2" s="1"/>
  <c r="D8" i="2" s="1"/>
  <c r="D9" i="2" s="1"/>
  <c r="D10" i="2" s="1"/>
  <c r="D11" i="2" s="1"/>
  <c r="D12" i="2" s="1"/>
  <c r="D13" i="2" s="1"/>
  <c r="D14" i="2" s="1"/>
  <c r="D15" i="2" s="1"/>
  <c r="D16" i="2" s="1"/>
  <c r="D17" i="2" s="1"/>
  <c r="D18" i="2" s="1"/>
  <c r="D19" i="2" s="1"/>
  <c r="D20" i="2" s="1"/>
  <c r="D21" i="2" s="1"/>
  <c r="D22" i="2" s="1"/>
  <c r="D23" i="2" s="1"/>
  <c r="D24" i="2" s="1"/>
  <c r="D25" i="2" s="1"/>
  <c r="D26" i="2" s="1"/>
</calcChain>
</file>

<file path=xl/sharedStrings.xml><?xml version="1.0" encoding="utf-8"?>
<sst xmlns="http://schemas.openxmlformats.org/spreadsheetml/2006/main" count="1561" uniqueCount="1204">
  <si>
    <t>Ngày giao dịch</t>
  </si>
  <si>
    <t>NVL</t>
  </si>
  <si>
    <t>Giá Mua</t>
  </si>
  <si>
    <t>Giá Bán</t>
  </si>
  <si>
    <t>Lãi/Lỗ(%)</t>
  </si>
  <si>
    <t>MBB</t>
  </si>
  <si>
    <t>Mã</t>
  </si>
  <si>
    <t>KBC</t>
  </si>
  <si>
    <t>Giá mua</t>
  </si>
  <si>
    <t>MSB</t>
  </si>
  <si>
    <t>DIG</t>
  </si>
  <si>
    <t>DGC</t>
  </si>
  <si>
    <t>HCM</t>
  </si>
  <si>
    <t>DGW</t>
  </si>
  <si>
    <t>HVN</t>
  </si>
  <si>
    <t>VIC</t>
  </si>
  <si>
    <t>VRE</t>
  </si>
  <si>
    <t>SSI</t>
  </si>
  <si>
    <t>BFC</t>
  </si>
  <si>
    <t>FPT</t>
  </si>
  <si>
    <t>SAB</t>
  </si>
  <si>
    <t>VNM</t>
  </si>
  <si>
    <t>GEX</t>
  </si>
  <si>
    <t>HHV</t>
  </si>
  <si>
    <t>VPB</t>
  </si>
  <si>
    <t xml:space="preserve">VIX </t>
  </si>
  <si>
    <t>GVR</t>
  </si>
  <si>
    <t>HSG</t>
  </si>
  <si>
    <t>DCM</t>
  </si>
  <si>
    <t>TPB</t>
  </si>
  <si>
    <t>FTS</t>
  </si>
  <si>
    <t>TTF</t>
  </si>
  <si>
    <t>VOS</t>
  </si>
  <si>
    <t>EVF</t>
  </si>
  <si>
    <t>PVD</t>
  </si>
  <si>
    <t>BCM</t>
  </si>
  <si>
    <t>TCH</t>
  </si>
  <si>
    <t>OCB</t>
  </si>
  <si>
    <t>FCN</t>
  </si>
  <si>
    <t>REE</t>
  </si>
  <si>
    <t>GAS</t>
  </si>
  <si>
    <t>HPX</t>
  </si>
  <si>
    <t>Giá hiện tại</t>
  </si>
  <si>
    <t>Lỗ/Lãi</t>
  </si>
  <si>
    <t>VJC</t>
  </si>
  <si>
    <t>DCL</t>
  </si>
  <si>
    <t>53.7 - 54.5 là kháng cự trung bình</t>
  </si>
  <si>
    <t>1 cây test đỏ khi giá vượt MA20, chờ cây tiếp theo, phía trước mây đỏ khá dày, đánh nhanh rút gọn</t>
  </si>
  <si>
    <t>20 - 20.6 là kháng cự mạnh, gần MA200</t>
  </si>
  <si>
    <t>12.6 - 13.2 là kháng cự mạnh</t>
  </si>
  <si>
    <t>Giá đang vừa tăng vừa chỉnh, xu hướng vẫn là tăng</t>
  </si>
  <si>
    <t>20 là kháng cự</t>
  </si>
  <si>
    <t>25.8 là kháng cự</t>
  </si>
  <si>
    <t>102 là kháng cự trung bình</t>
  </si>
  <si>
    <t>DBC</t>
  </si>
  <si>
    <t>Dấu hiệu tạo 2 đỉnh macd phân kì âm</t>
  </si>
  <si>
    <t>Giá mất MA20 2 cây, MACD cắt xuống dưới đường tín hiệu</t>
  </si>
  <si>
    <t>24.7 - 24.8 là kháng cự</t>
  </si>
  <si>
    <t>30.8 là đỉnh cũ</t>
  </si>
  <si>
    <t>Ngày mua</t>
  </si>
  <si>
    <t>Giá có khả năng thủng đáy, xem xét thủng đáy thì bán</t>
  </si>
  <si>
    <t>21.15 là đỉnh cũ xem xét bán vượt lên mua tiếp, 21.9 là MA200 kháng cự mạnh xem xét</t>
  </si>
  <si>
    <t>19/3/2025</t>
  </si>
  <si>
    <t>13.5 là kháng cự trung bình, 12.5 đỉnh gần có thể chốt lãi, nếu break qua đỉnh mua tiếp ở 12.65,  nếu không chờ xuống MA20 mua ăn 2 đỉnh</t>
  </si>
  <si>
    <t>MA20 đang hướng lên, giá pull back về ma20 nhưng không kéo lên luôn mà đang tích lũy dưới MA20, nếu nay hàng về không kéo lên được ma20 thì cắt</t>
  </si>
  <si>
    <t>HAH</t>
  </si>
  <si>
    <t>VIX</t>
  </si>
  <si>
    <t>81.6 là đỉnh cũ, là kháng cự</t>
  </si>
  <si>
    <t>13.5 - 13.8 là kháng cự</t>
  </si>
  <si>
    <t>25/3/2025</t>
  </si>
  <si>
    <t>26/3/2025</t>
  </si>
  <si>
    <t>17.15 đỉnh cũ thì bán, vượt mua thêm</t>
  </si>
  <si>
    <t>Giá tiếp tục mất MA20 canh cuối phiên ko lên được thì bán</t>
  </si>
  <si>
    <t>Giá vượt MA20 không thành công, 2 cây test mà dưới MA20 cắt</t>
  </si>
  <si>
    <t>Giá đã mất MA20 nhưng mà gần đáy, đã đặt lệnh dừng cắt lỗ nếu thủng đáy nên cứ giữ lại</t>
  </si>
  <si>
    <t>Giá mất MA20, phiên mai mà không lên lại được thì cắt</t>
  </si>
  <si>
    <t>54.2 là đỉnh cũ, là kháng cự bán chốt lãi vượt mua tiếp</t>
  </si>
  <si>
    <t>đã tạo phân kì âm, ngày mai xem xét bán</t>
  </si>
  <si>
    <t>4.7, 5 là kháng cự, gần MA200</t>
  </si>
  <si>
    <t>13.6 - 13.8 là kháng cự</t>
  </si>
  <si>
    <t>Break khỏi đỉnh, nhưng macd vẫn chưa cắt lại đường tín hiệu, theo dõi 2 phiên tiếp theo phải tăng nhẹ để kéo macd cắt đường tín hiệu, nếu ko sẽ tạo phân kì âm</t>
  </si>
  <si>
    <t>Phiên nay giảm nhưng vol nhỏ, nếu mai vẫn giảm thì có khả năng tạo phân kì âm, canh mai thế nào nếu giảm tiếp xem xét</t>
  </si>
  <si>
    <t>Sau  khi vượt MA20 2 cây tích lũy vẫn trên ma20, vol nhỏ</t>
  </si>
  <si>
    <t>Lên lại gần đỉnh cũ tạo cây hương vol khá, mai xem xét</t>
  </si>
  <si>
    <t>Giá tiếp tục dưới MA20</t>
  </si>
  <si>
    <t>3 là kháng cự</t>
  </si>
  <si>
    <t>12.9 là đỉnh cũ nên xem xét bán</t>
  </si>
  <si>
    <t>15/4/2025</t>
  </si>
  <si>
    <t>35 là kháng cự</t>
  </si>
  <si>
    <t>Đã đặt lệnh dừng 13.6</t>
  </si>
  <si>
    <t>MA20 vẫn đang hướng xuống, có thể là sóng hồi, đã đặt lệnh dừng 91.2</t>
  </si>
  <si>
    <t>92.2 là MA20</t>
  </si>
  <si>
    <t xml:space="preserve">16.6 là đỉnh vùng tích luỹ </t>
  </si>
  <si>
    <t>MA20 vẫn đang hướng xuống, đã đặt lệnh dừng ở 16.6</t>
  </si>
  <si>
    <t>cây giảm mạnh vol trung bình, đã đặt lệnh cắt lỗ 5%</t>
  </si>
  <si>
    <t>POW</t>
  </si>
  <si>
    <t>21/4/2025</t>
  </si>
  <si>
    <t>70 gần đỉnh cũ bán</t>
  </si>
  <si>
    <t>22/4/2025</t>
  </si>
  <si>
    <t>Giá mất MA20 1 cây, chờ cây tiếp theo nếu không lên được thì cắt</t>
  </si>
  <si>
    <t>24/4/2025</t>
  </si>
  <si>
    <t>Giá vẫn trên ma20, MA10 đã cắt MA20</t>
  </si>
  <si>
    <t>HDB</t>
  </si>
  <si>
    <t>28/4/2025</t>
  </si>
  <si>
    <t>PVT</t>
  </si>
  <si>
    <t>KDH</t>
  </si>
  <si>
    <t>13.2 là kháng cự mạnh</t>
  </si>
  <si>
    <t>NKG</t>
  </si>
  <si>
    <t>32.5 là kháng cự mạnh, kháng cự gần nhất 29.3</t>
  </si>
  <si>
    <t>4.5 là kháng cự mạnh</t>
  </si>
  <si>
    <t>23,2 là kháng cự mạnh</t>
  </si>
  <si>
    <t>38.2 là kháng cự gần nhất, cũng là ma200</t>
  </si>
  <si>
    <t>104 là kháng cự</t>
  </si>
  <si>
    <t>Mất ma20 cây tiếp theo không lên lại được thì cắt, cũng sắp rúc vào mây đỏ dày</t>
  </si>
  <si>
    <t>macd đã cắt đường tín hiệu, mới có 1 đỉnh macd có khả năng lên lại gần đỉnh cũ tạo 2 đỉnh macd, canh 12.9 nên bán</t>
  </si>
  <si>
    <t>21/5/2025</t>
  </si>
  <si>
    <t>39 là kháng cự mạnh, 37 kháng cự mạnh, 34 là đáy kháng kháng cự</t>
  </si>
  <si>
    <t>22/5/2025</t>
  </si>
  <si>
    <t>15.4 là kháng cự gần nhất</t>
  </si>
  <si>
    <t>Giá giảm về gần ma20, sắp vào đám mây đỏ dần, canh hồi lại 29.1 bán</t>
  </si>
  <si>
    <t>giá lên lại được ma20 rúc vào mây đỏ</t>
  </si>
  <si>
    <t>27/5/2025</t>
  </si>
  <si>
    <t>13.8 là đỉnh cũ, mua lướt ngắn hạn</t>
  </si>
  <si>
    <t>vẫn lò dò đi lên chậm, sắp rúc vào mây đỏ, nên bán ở cạnh trên mây đỏ</t>
  </si>
  <si>
    <t>29 là kháng cự</t>
  </si>
  <si>
    <t>13.65 là cạnh mây đỏ sắp rúc vào</t>
  </si>
  <si>
    <t>29/5/2025</t>
  </si>
  <si>
    <t>cây vol tăng mạnh nhưng giá không tăng tương xứng, giá thì vẫn trên ma20 theo dõi thêm</t>
  </si>
  <si>
    <t>1 cây giảm 2% vol khá, sắp rúc vào mây đỏ dày</t>
  </si>
  <si>
    <t>mất ma20 1 cây, thứ 2 không lên lại được cắt</t>
  </si>
  <si>
    <t>Giá mất ma20 1 cây, chờ cây thứ 2 không lên đc thì cắt</t>
  </si>
  <si>
    <t>XE9400</t>
  </si>
  <si>
    <t>các công ty mà tài sản hữu hình nó đóng vai trò lớn trong mô hình kinh doanh. còn đối với công ty tài sản vô hình nó lớn thì chỉ số này ko còn quá quan trọng</t>
  </si>
  <si>
    <t xml:space="preserve">- ROA:là % giữa lợi nhuận ròng và tổng tài sản chỉ số này cho biết 1 công ty sử dụng tài sản để kiếm lời như thế nào </t>
  </si>
  <si>
    <t>- ROE: là 5 giữa lợi nhuận ròng và tổng vốn chủ sở hữu (thái phạm chọn &gt; 10) và phải lớn hơn nhiều lãi ngân hàng 1 năm</t>
  </si>
  <si>
    <t xml:space="preserve">- ROS: Tỉ suất sinh lời trên doanh thu </t>
  </si>
  <si>
    <t>- GOS: Tỷ suất lợi nhuận gộp: (Doanh thu thuần - Giá vốn hàng hóa bán) : Doanh thu thuần</t>
  </si>
  <si>
    <t>- Trong 1 xu hướng tăng thì sóng tăng sẽ dài sóng điều chỉnh sẽ ngắn và nhanh và tới khi nào nhịp tăng của nó yếu dần(đỉnh sau không cao hơn đỉnh trước mấy) thì kết thúc xu hướng tăng,</t>
  </si>
  <si>
    <t xml:space="preserve"> trong 1 xu hướng giảm thì sóng giảm sẽ dài hơn sóng tăng(sóng hồi)</t>
  </si>
  <si>
    <t>- Trong 1 xu hướng giảm nếu hồi mà phá vỡ được đỉnh gần nhất thì có khả năng sẽ tăng mạnh</t>
  </si>
  <si>
    <t>- Nến lên là nến có giá thấp nhất vào cao nhất cao hơn nến trước</t>
  </si>
  <si>
    <t>- Sóng tăng: có 1 nến lên và giá phá vỡ lên trên đỉnh gần nhất + vol tăng mạnh thì có thể margin</t>
  </si>
  <si>
    <t>- Sóng giảm: có 1 nến giảm và giá phá vỡ xuống dưới đáy gần nhất</t>
  </si>
  <si>
    <t>- Nến inside bar là nến không phá vỡ giá cao nhất và giá thấp nhất của cây nến trước -&gt; do đó giữ nguyên xu hướng hiện tại</t>
  </si>
  <si>
    <t>- Đáy thứ cấp là đáy sau thấp hơn đáy trước</t>
  </si>
  <si>
    <t>- Đáy cơ bản là đáy sau cao hơn đáy trước</t>
  </si>
  <si>
    <t xml:space="preserve"> =&gt; thứ cấp(cùng xu hướng) là theo xu hướng tăng hoặc giảm thì thằng phía sau phải tăng hay giảm mạnh so với thằng so sánh</t>
  </si>
  <si>
    <t xml:space="preserve"> =&gt; Cơ bản (ngược xu hướng)</t>
  </si>
  <si>
    <t xml:space="preserve"> =&gt; Trong xu hướng tăng luôn xuất hiện các đỉnh thứ cấp và đáy cơ bản(tức là xuất hiện các đỉnh sau cao hơn đỉnh trước và đáy sau cao hơn đáy trước)</t>
  </si>
  <si>
    <t xml:space="preserve"> =&gt; Trong xu hướng giảm luôn xuất hiện các đỉnh cơ bản và đáy thứ cấp(tức là xuất hiện các đỉnh sau thấp hơn đỉnh trước và đáy sau thấp hơn đáy trước)</t>
  </si>
  <si>
    <t xml:space="preserve"> =&gt; khi nó đã tạo đỉnh mà đỉnh sau cứ thấp hơn đỉnh trước thì cũng nên cân nhắc bán và nếu mà giảm thủng đáy gần nhất thì chạy</t>
  </si>
  <si>
    <t xml:space="preserve"> =&gt; Khi nó tạo mô hình 2 đáy sau khi 1 nhịp giảm mạnh và có 1 cây break vol lớn vượt qua đỉnh trung tâm thì bước vào sóng tăng và kéo dài ít nhất 1 đến 2 tháng</t>
  </si>
  <si>
    <t xml:space="preserve"> =&gt; Vùng giằng co hay vùng tích lũy, vùng hỗ trợ, vùng kháng cự là vùng mà các nến ngắn đứng cùng nhau muốn phá vỡ vùng này cần xét 2 cây nến, 1 cây phá vỡ(thủng trên hoặc thủng dưới) còn cần cây tiếp theo để</t>
  </si>
  <si>
    <t xml:space="preserve"> kiểm tra lại nếu cây tiếp theo, trong trường hợp phá vỡ xuống nếu cây tiếp theo hồi lại bằng hơn nửa cây trước thì khả năng phá vỡ thất bại tương tự ngược lại với phá lên nếu cây sau</t>
  </si>
  <si>
    <t xml:space="preserve"> lại giảm quá nửa thì phá lên thất bại</t>
  </si>
  <si>
    <t>- trend thì tất cả cổ phiếu sẽ đồng pha(tăng cùng tăng, giảm cùng giảm)</t>
  </si>
  <si>
    <t>----Phân tích giá kết hợp với khối lượng:</t>
  </si>
  <si>
    <t>- Khối lượng thúc đẩy thị trường nó ghi lại dấu vết của tổ chức lớn khi họ bước vào và thoát ra khỏi thị trường</t>
  </si>
  <si>
    <t>sau hành động giá đó</t>
  </si>
  <si>
    <t>- Trước phiên ngày mai, tối hôm trước ta sẽ lọc ra tầm 20 mã để theo dõi kiểm tra mã nào tăng mà vol tăng đột biến</t>
  </si>
  <si>
    <t>- Nếu nhịp tăng mà vol rất thấp thì có khả năng điều chỉnh giảm ngay sau đó, nếu đang ở đỉnh mà vol cao mà không đẩy được giá lên tiếp thì có khả năng giảm</t>
  </si>
  <si>
    <t>=&gt; Giá tăng khối + lượng tăng thị trường đang trong xu hướng tăng tốt</t>
  </si>
  <si>
    <t>=&gt; giá tăng khối + khối lượng không tăng -&gt; thị trường trong xu hương tăng yếu có nguy cơ đảo chiều</t>
  </si>
  <si>
    <t>=&gt; giá giảm + khối lượng tăng -&gt; thị trường đang phân phối</t>
  </si>
  <si>
    <t>=&gt; giá giảm nhưng khối lượng nhỏ -&gt; không quá tiêu cực (tùy vị trí cấu trúc giá để phân tích)</t>
  </si>
  <si>
    <t>=&gt; Trong xu hướng tăng nếu khối lượng giảm dần theo chiều giá tăng -&gt; xu hướng đang đến đoạn cuối</t>
  </si>
  <si>
    <t>=&gt; Trong xu hướng xuống lúc đầu khối lượng sẽ tăng vì hoạt động cắt lỗ và chốt lời. Khi gần tạo đáy khối lượng bắt đầu giảm xuống cho thấy áp lực bán không mạnh</t>
  </si>
  <si>
    <t>lúc này nhịp điều chỉnh có khả năng kết thúc</t>
  </si>
  <si>
    <t>- Quy tắc: Thị trường khi đã vào xu hướng thì không thể đột ngột dừng lại và quay đầu 1 cách nhanh chóng</t>
  </si>
  <si>
    <t>- Giai đoạn tích lũy: khi giá cổ phiếu biến động thấp và vol cũng nhỏ lúc này là lúc lái gom hàng, khi có 1 cây nến break với giá tăng mạnh và vol lớn thì</t>
  </si>
  <si>
    <t>thoát khỏi giai đoạn này và sang giai đoạn đẩy giá</t>
  </si>
  <si>
    <t>- Giai đoạn làm giá: xuất hiện khi 1 cây nến phá vỡ đỉnh gần nhất với vol lớn -&gt; lúc này giá sẽ được đẩy lên, trong quá trình đẩy lên sẽ có những pha điều chỉnh nhỏ</t>
  </si>
  <si>
    <t>(giá biến động giảm nhỏ, vol nhỏ)</t>
  </si>
  <si>
    <t>- Giai đoạn phân phối là giai đoạn mà lái sẽ bán hàng đã gom, ở giai đoạn này là giá đã ở mức cao vol cao nhưng giá biến động nhỏ, hoặc là giá tăng và liền bị đạp xuống trong 1 phiên</t>
  </si>
  <si>
    <t>và sẽ kết thúc khi giá chọc thủng đáy gần nhất với 1 cây nên có vol lớn sẽ phá vỡ giai đoạn này -&gt; nếu thấy vol cao mà giá không thể lên được nữa sẽ bán,</t>
  </si>
  <si>
    <t>có thể lướt sóng ở vùng này(vì thường biên độ sẽ là 10%) nhưng mà nếu bị chọc thủng đáy phải lập tức cắt lỗ</t>
  </si>
  <si>
    <t>----Bùng nổ theo đà:</t>
  </si>
  <si>
    <t xml:space="preserve">- Nguyên tắc 1: chiều dài của đuôi nến cho dù là đuôi trên hay đuôi dưới phải luôn luôn là điểm chú ý đầu tiên bởi nó tiết lộ ngay lập tức sức mạnh sắp xảy ra, sự yếu hay sự </t>
  </si>
  <si>
    <t>thiếu quyết đoán và nhiều điều quan trọng</t>
  </si>
  <si>
    <t>- Nguyên tắc 2: nếu không có sự xuất hiện của đuôi nến điều này báo  hiệu tâm lý thị trường mạnh mẽ theo hướng của giá đóng cửa</t>
  </si>
  <si>
    <t>- Nguyên tắc 3: 1 nến thân nhỏ báo hiệu 1 thị trường biến động yếu, 1 nến thân to báo hiệu thị trường biến động mạnh</t>
  </si>
  <si>
    <t>- Nguyên tắc 4: Một cây nến cùng loại sẽ có một ý nghĩa hoàn toàn khác nhau tùy thuộc vào nơi nó xuất hiện trong 1 xu hướng giá</t>
  </si>
  <si>
    <t>- Nguyên tắc 5: khối lượng xác nhận giá. Bắt đầu với mô hình nến, sau đó tìm kiếm sự xác nhận hoặc bất thường của hành động giá bằng khối lượng.</t>
  </si>
  <si>
    <t>- Ngày bùng nổ theo đà: Đánh dấu sự bắt đầu của 1 xu hướng tăng mới. Đây là 1 khái niệm dùng để nhận biết thị trường chuyển từ giảm giá sang giai đoạn tăng giá</t>
  </si>
  <si>
    <t>và hầu hết các sóng tăng bắt đầu từ ngày bùng nổ theo đà, chỉ áp dụng bùng nổ theo đà với Vnindex không áp dụng cho cổ phiếu riêng lẻ.</t>
  </si>
  <si>
    <t>- Các tiêu chí:</t>
  </si>
  <si>
    <t xml:space="preserve"> + Ngày 1: đà rơi của thị trường chững lại bởi xuất hiện phiên tăng giá đầu tiên với vol lớn</t>
  </si>
  <si>
    <t xml:space="preserve"> + Ngày 2 và 3: Giá phải duy trì trên đáy vừa thiết lập. Trong trường hợp chỉ số thủng đáy mới của phiên nỗ lực phục hồi -&gt; mẫu hình không còn giá trị</t>
  </si>
  <si>
    <t xml:space="preserve"> + FTD thường xuất hiện ở ngày thứ 4 đến ngày thứ 8, có thể muộn hơn kể từ phiên nỗ lực phục hồi. Một vài trường hợp đặc biệt có thể xuất hiện sớm vào ngày thứ 3</t>
  </si>
  <si>
    <t xml:space="preserve"> của đợt nỗ lực phục hồi nhưng đòi hỏi mức tăng giá phải từ 2 - 4% và kèm vol lớn và phiên giao dịch phải đem lại cảm giác tăng giá bùng nổ cho toàn bộ thị trường</t>
  </si>
  <si>
    <t xml:space="preserve"> + Phiên FTD đầu phiên có thể giảm nhưng sau đó bùng nổ mạnh mẽ dòng tiền lan tỏa khắp các mã và nhóm ngành</t>
  </si>
  <si>
    <t xml:space="preserve"> + Trước phiên bùng nổ theo đà thường là 1 phiên test cung với khối lượng thấp</t>
  </si>
  <si>
    <t xml:space="preserve"> + Chỉ số thị trường chung tăng mạnh ở mức 2 - 4 % khối lượng lớn hơn nhiều phiên trước đó và giao dịch toàn thị trường tăng mạnh</t>
  </si>
  <si>
    <t>- Mẫu hình nến đảo chiều:</t>
  </si>
  <si>
    <t xml:space="preserve"> + Mẫu shooting star: là mẫu nến có phần râu trên dài, râu dưới ngắn gần như không có và xuất hiện ở đỉnh mà xuất hiện 1 cây nến này + vol lớn thì khả năng đảo chiều giảm cao</t>
  </si>
  <si>
    <t xml:space="preserve"> (nếu nến màu đỏ càng uy tín) vì ta có thể thấy áp lực bán từ đỉnh nến là lớn. Nếu ở đỉnh xuất hiện nến này nhưng vol nhỏ cũng chưa phải lo lắng lắm</t>
  </si>
  <si>
    <t xml:space="preserve"> + Mẫu hình nến hummer:là cây nến có râu dưới dài, râu trên gần như không có và xuất hiện ở đáy + vol cao thì khả năng đảo chiều tăng cao (vào làm 1 ít) chờ break khỏi </t>
  </si>
  <si>
    <t xml:space="preserve"> đỉnh gần nhất thì mua tiếp</t>
  </si>
  <si>
    <t xml:space="preserve"> + Mẫu hình nến doji: là mẫu hình nến có phần thân nến ngắn và 2 phần râu nên trên và dưới gần bằng nhau và khá dài. Mẫu hình doji này thể hiện sự thiếu quyết đoán trong</t>
  </si>
  <si>
    <t xml:space="preserve"> hành động giá. Doji chân ngắn kho có ý nghĩa, doji chân dài có giá trị nhất, khi phân tích phải kết hợp với khối lượng, doji chân dài mà vol thấp thì ko đáng lưu tâm</t>
  </si>
  <si>
    <t xml:space="preserve"> nếu doji chân dài xuất hiện với vol trung bình và cao thì ý nghĩa đảo chiều rất là lớn, đang ở đáy mà xuất hiện doji thì khả năng đảo chiều tăng ngược lại với ở đỉnh</t>
  </si>
  <si>
    <t xml:space="preserve"> + Mẫu hình Engulfing</t>
  </si>
  <si>
    <t xml:space="preserve"> </t>
  </si>
  <si>
    <t>----Quy trình đánh giá setup ta phải trả lời các câu hỏi sau:</t>
  </si>
  <si>
    <t>- Xu hướng của thị trường là tăng hay giảm, hay đi ngang? tại sao bạn chắc chắn về điều đó ?</t>
  </si>
  <si>
    <t>- Setup để vào lệnh trong tình huống này là gì ?</t>
  </si>
  <si>
    <t xml:space="preserve"> + Có nến đảo chiều, là nến đảo chiều nào ?, khối lượng ra làm sao ?</t>
  </si>
  <si>
    <t xml:space="preserve"> + Có phải mẫu hình phá vỡ vùng giằng co hay không ?, phá vỡ đó mạnh hay yếu ? mẫu hình loại gì ?</t>
  </si>
  <si>
    <t xml:space="preserve"> + vị trí của setup có xuất hiện tại kháng cự hay hỗ trợ nào không ?</t>
  </si>
  <si>
    <t xml:space="preserve"> + chỉ nên giao dịch khi setup đó có chất lượng cao</t>
  </si>
  <si>
    <t xml:space="preserve"> + giao dịch ít nhưng chất lượng</t>
  </si>
  <si>
    <t xml:space="preserve"> + hạn chế bị ảnh hưởng tâm lí khi giao dịch. Nếu giao dịch liên tục tâm lý sẽ bị ảnh hưởng và không còn tỉnh táo</t>
  </si>
  <si>
    <t xml:space="preserve"> + không ham lợi nhuận mà đặt cược số tiền lớn vào lệnh giao dịch</t>
  </si>
  <si>
    <t xml:space="preserve"> + hãy kiếm tiền 1 cách từ từ, ít nhưng đều</t>
  </si>
  <si>
    <t xml:space="preserve"> + Ghi nhật ký giao dịch hằng ngày</t>
  </si>
  <si>
    <t xml:space="preserve"> + Luôn có kế hoạch giao dịch cụ thể trước phiên giao dịch</t>
  </si>
  <si>
    <t xml:space="preserve"> + cắt lỗ nhanh nhất có thể khi thị trường đảo chiều</t>
  </si>
  <si>
    <t xml:space="preserve"> + Khi cổ phiếu dẫn đầu đạt đỉnh là lúc cân nhắc rời khỏi thị trường</t>
  </si>
  <si>
    <t>----Kỹ thuật sử dụng MA + MACD:</t>
  </si>
  <si>
    <t>- Đường trung bình di động là đường chạy mềm mại theo biểu đồ giá, được đo từ mức giá đóng cửa của các nến trong 1 giai đoạn gần nhất</t>
  </si>
  <si>
    <t xml:space="preserve"> + đường trung bình di động được sử dụng để đo lường đà tăng giá hoặc giảm giá hay cũng có thể dùng để xác định những vùng hỗ trợ hay kháng cự thích hợp và hợp lý</t>
  </si>
  <si>
    <t xml:space="preserve"> với tình hình hiện tại.</t>
  </si>
  <si>
    <t xml:space="preserve"> + Đường trung bình di động được ứng dụng trong việc dự đoán hướng giá di chuyển trong tương lai bằng cách nhìn độ nghiêng của nó</t>
  </si>
  <si>
    <t>- Đường trung bình đơn giản SMA:</t>
  </si>
  <si>
    <t xml:space="preserve"> + dùng để nhận biết hướng đi của xu hướng đường giá </t>
  </si>
  <si>
    <t xml:space="preserve"> + để phát hiện những tín hiệu mua và bán</t>
  </si>
  <si>
    <t xml:space="preserve"> + SMA(X) được tính bằng cách lấy tổng giá đóng cửa của một giai đoạn X trước đó rồi chia lại cho X.</t>
  </si>
  <si>
    <t>ví dụ: SMA(5) trên biểu đồ 1 giờ, thì cộng 5 mức giá đóng cửa gần nhất của 5 giờ và chia lại cho 5</t>
  </si>
  <si>
    <t xml:space="preserve"> + Thầy hay dùng MA(20) và MA(10)</t>
  </si>
  <si>
    <t xml:space="preserve"> + Công dụng tối ưu của MA là không ghi lại sự dao động răng cưa hằng ngày mà tạo ra một đường gần như là thẳng để NDT nhận định xu hướng, đường đi của giá ngay khi nhìn trên chart</t>
  </si>
  <si>
    <t xml:space="preserve"> + Dùng MA200 cho công việc mua bán dài hạn M1, MA50 để biết xu hướng mua bán ở trung hạn. Còn EMA5, MA20 dùng cho mua bán trong thời gian ngắn hạn D1</t>
  </si>
  <si>
    <t>- Nguyên tắc sử dụng MA:</t>
  </si>
  <si>
    <t xml:space="preserve"> + Sau khi đường MA đi xuống 1 thời gian, nó dần nằm ngang, nếu mà giá cắt lên trên đường MA =&gt; giá tăng sau 1 thời gian giảm giá</t>
  </si>
  <si>
    <t xml:space="preserve"> + Giá cắt qua đường MA khi cả 2 đều có xu hướng đi lên =&gt; giá tăng tốc độ, tăng giá nhiều hơn bình thường.</t>
  </si>
  <si>
    <t xml:space="preserve"> + Khi giá rơi xuống, chạm nhưng không xuyên qua đường MA =&gt; giá điều chỉnh và sẽ lại tiếp tục xu hướng tăng</t>
  </si>
  <si>
    <t xml:space="preserve"> + Khi giá xuyên qua đường MA, nhưng đường MA vẫn còn xu hướng đi lên rõ rệt. Giá giảm tốc độ tăng nhưng nhìn chung nó vẫn còn xu hướng đi lên</t>
  </si>
  <si>
    <t xml:space="preserve"> + Khi giá giảm quá xa đường MA. Giá đang bị giảm quá đà, lúc này giá có xu hướng phục hồi trở lại đường MA</t>
  </si>
  <si>
    <t xml:space="preserve"> + Giao dịch mua: MA20 đang phải có xu hướng đi lên hoặc đi ngang, Mua khi giá vượt lên trên MA20 và cây nên sau test lại không cắt xuống dưới. Trong xu hướng tăng mua khi giá</t>
  </si>
  <si>
    <t>điều chỉnh về tới đường MA20</t>
  </si>
  <si>
    <t xml:space="preserve"> + Giao dịch bán: MA20 phải có xu hướng đi xuống, Bán khi cây nến cắt xuỗng dưới MA20 và cây nến sau test lại không vượt lên trở lại được. Cây nến test đó </t>
  </si>
  <si>
    <t xml:space="preserve"> không phải cây nến đảo chiều, trong xu hướng giảm bán khi giá hồi phục tăng lên tới đường MA20</t>
  </si>
  <si>
    <t>- MACD: (MACD được tính toán bằng cách lấy sự khác biệt giữa hai đường trung bình động, Sự khác biệt giữa đường trung bình động hàm lượng 12 kỳ (EMA12) và đường trung bình động hàm lượng 26 kỳ (EMA26))</t>
  </si>
  <si>
    <t xml:space="preserve"> + MACD = EMA12 − EMA26</t>
  </si>
  <si>
    <t xml:space="preserve"> + Đường tín hiệu: Đây là đường trung bình động của đường MACD, thường là EMA của MACD với kỳ hạn 9. Đường Signal được sử dụng để tạo ra tín hiệu mua và bán.</t>
  </si>
  <si>
    <t xml:space="preserve"> + Trong xu hướng tăng đường MACD sẽ nằm trên đường tin hiệu, trong xu hướng giảm đường MACD sẽ nằm dưới đường tín hiệu</t>
  </si>
  <si>
    <t xml:space="preserve"> + Đường MACD được  vẽ với trục giữa là mốc 0, không có giới hạn giá trị về 2 phía dưới 0 và trên 0</t>
  </si>
  <si>
    <t xml:space="preserve"> + Khi đường MACD trên vạch 0, có nghĩa là EMA 12 đang ở trên EMA26, khi MACD dưới vạch 0 thì có nghĩa là EMA12 đang ở dưới EMA26.</t>
  </si>
  <si>
    <t xml:space="preserve"> + Đường MACD khi ở trên mức 0 và trên mức 0 càng nhiều có nghĩa là khoảng cách dương giữa EMA12 và EMA26 càng lớn</t>
  </si>
  <si>
    <t xml:space="preserve"> + Hội tụ và phân kì giúp nhận biết những tín hiệu cảnh báo khi thị trường thay đổi xu thế, các tín hiệu giao dịch, tham gia hoặc rút lui khỏi thị trường. Các nhà giao dịch chỉ nhìn nến và khối lượng</t>
  </si>
  <si>
    <t xml:space="preserve">   dễ bị dính đỉnh vì người ta không nhìn thấy các tín hiệu phân kì và hội tụ</t>
  </si>
  <si>
    <t xml:space="preserve"> + Khi đường biểu diễn các chỉ số MACD,RSI di chuyển cùng chiều (tăng, giảm) với đường giá =&gt; hiện tượng hội tụ</t>
  </si>
  <si>
    <t xml:space="preserve"> + Khi MACD, RSI di chuyển ngược chiều với đường giá =&gt; hiện tượng phân kỳ</t>
  </si>
  <si>
    <t xml:space="preserve"> + Phân kỳ dương: đường chỉ số tăng, đường giá giảm,(xem xét mua)</t>
  </si>
  <si>
    <t xml:space="preserve"> + Phân kỳ âm: đường chỉ số giảm, đường giá tăng(xem xét bán)</t>
  </si>
  <si>
    <t xml:space="preserve"> + đường chỉ số được vẽ bằng cách nối 2 đỉnh MACD, đường giá được vẽ bằng cách nối 2 đỉnh của giá</t>
  </si>
  <si>
    <t>- Giao dịch theo sự giao cắt - kết hợp MA:</t>
  </si>
  <si>
    <t xml:space="preserve"> + Mua khi: đường MACD cắt qua đường tín hiệu đồng thời giá vượt qua MA20 và MA20 phải đang đi ngang hoặc hướng lên</t>
  </si>
  <si>
    <t xml:space="preserve"> + Bán khi: đường MACD cắt xuống dưới đường tín hiệu đồng thời giá cắt xuống dưới MA20</t>
  </si>
  <si>
    <t>- Giao dịch theo hội tụ và phân kì:</t>
  </si>
  <si>
    <t xml:space="preserve"> * Với giao dịch mua:</t>
  </si>
  <si>
    <t xml:space="preserve">  + Khi đường MACD tạo phân kì dương 2 đoạn trở lên với đường giá. Mua mạnh khi phân kì dương và MACD lên gần sát 0 hoặc vượt lên trên 0</t>
  </si>
  <si>
    <t xml:space="preserve">  + Mua xong tiếp tục giữ vị thế mua (không bán) khi MACD và đường giá cùng tăng</t>
  </si>
  <si>
    <t xml:space="preserve">  + Không mua khi đường giá tạo đỉnh sao cao hơn đỉnh trước mà MACD tạo đỉnh sau thấp hơn đỉnh trước(nguyên tắc vô cùng quan trọng để tránh việc mua ở đỉnh)</t>
  </si>
  <si>
    <t xml:space="preserve"> * Với giao dịch bán:</t>
  </si>
  <si>
    <t xml:space="preserve">  + Bán khi MACD tạo phân kì âm 2 đoạn trở lên với đường giá. Bán mạnh khi phân kì âm và MACD giảm xuống sát 0 hoặc cắt xuống dưới 0</t>
  </si>
  <si>
    <t xml:space="preserve">  + Bán xong tiếp tục giữ vị thế không mua nữa</t>
  </si>
  <si>
    <t xml:space="preserve">  </t>
  </si>
  <si>
    <t>- MFI: Chỉ số lưu lượng tiền: là chỉ số kỹ thuật dùng để đánh giá cường độ của dòng tiền bằng cách so sánh giá tăng tích cực và tiêu cực trong 1 khoảng</t>
  </si>
  <si>
    <t>thời gian nhất định, có tính đến khối lượng. Do chỉ số này đo lường cả biến động giá và khối lượng =&gt; cho phép chúng ta biết là nhà đầu tư quan tâm nhiều hay ít đến cổ phiếu.</t>
  </si>
  <si>
    <t>MFI được sử dụng kết hợp giữa giá và khối lượng giao dịch làm cơ sở để nhận biết tình trạng của thị trường đang trong giai đoạn tích luỹ hay phân phối</t>
  </si>
  <si>
    <t>thông qua khu vực quá mua(overbought) và cùng quá bán (orversold). Đây là những tín hiệu để xác nhận đường xu hướng giá và đưa ra những cảnh báo về khả năng</t>
  </si>
  <si>
    <t>đảo chiều của đường giá</t>
  </si>
  <si>
    <t xml:space="preserve"> + Cách sử dụng tương tự MACD, giá tăng thì chỉ số dòng tiền phải tăng thì mới hợp lí, giá tăng mà chỉ số dòng tiền lại giảm =&gt; đẩy giá lên để bán =&gt; mình cũng phải bán</t>
  </si>
  <si>
    <t xml:space="preserve"> + Giá sideway nhưng mà chỉ số dòng tiền lại tăng(đáy sau cao hơn đáy trước, đỉnh sau cao hơn đỉnh trư =&gt; giai đoạn tích luỹ(gom hàng chờ đẩy giá) mình cũng nên mua</t>
  </si>
  <si>
    <t>dải bollinger brands là giá cả có xu hướng giao động trong một khoảng giới hạn nhất định, do đó John Bollinger đã phát triển ra một dải gồm 3 đường trên cùng</t>
  </si>
  <si>
    <t>đồ thị giá của cổ phiếu: đường trung bình động đơn giản nằm ở chính giữa và 2 dải giới hạn trên và dưới với độ lệch chuẩn là 2 so với đường trung bình động giản đơn.</t>
  </si>
  <si>
    <t>Vì độ lệch tiêu chuẩn là thước đo dao động, nên các dải cũng tự điều chỉnh: mở rộng trong các thị trường dao động mạnh và thu  hẹp trong các thị trường ổn định hơn</t>
  </si>
  <si>
    <t>Có 3 thành phần cơ bản trong chỉ báo Bollinger brands:</t>
  </si>
  <si>
    <t xml:space="preserve"> + Đường trung bình (Moving Average): sử dụng mặc định 20 phiên, SMA20</t>
  </si>
  <si>
    <t xml:space="preserve"> + Dải trên(Upper band): dải trên thường có độ lệch chuẩn là 2, được tính toán từ dữ liệu giá 20 phiên. Có vị trí nằm trên đường trung bình SMA20</t>
  </si>
  <si>
    <t xml:space="preserve"> + Dải dưới (Lower brand): dải dưới thường có độ lệch chuẩn là 2 và nằm dưới đường trun bình SMA20</t>
  </si>
  <si>
    <t>- Các ứng dụng của bolliger band:</t>
  </si>
  <si>
    <t xml:space="preserve"> + Chỉ ra thị trường đang ở tình trạng quá mua hoặc quá bán, ở gần biên dưới thì là quá mua, ngược lại quá bán</t>
  </si>
  <si>
    <t xml:space="preserve"> + Cảnh báo dấu hiệu biến động lớn: khi 2 biên ngày càng hẹp lại(do dao động giá nhỏ đi), thông thường cảnh báo khả năng giá biến động sắp tới</t>
  </si>
  <si>
    <t>- Cách sử dụng đường bolliger band:</t>
  </si>
  <si>
    <t xml:space="preserve"> + Dấu hiệu mua: Khi thấy 2 biên xiết chặt, thắt chặt lại + vol nhỏ =&gt; dấu hiệu sắp bật tăng break (80% ăn)</t>
  </si>
  <si>
    <t xml:space="preserve"> + Khi tăng 1 một mạch từ band dưới lên band trên không nghỉ ngơi tích luỹ thì thường nó sẽ lùi về giữa</t>
  </si>
  <si>
    <t xml:space="preserve"> *Cách sử dung:</t>
  </si>
  <si>
    <t xml:space="preserve">  + Các mức của RSI: 80% mức mà nhà đầu tư mua quá nhiều(overbought), 20% là mức nhà đầu tư bán quá nhiều(oversold). Mua khi thị trường ở mức orversold và bán khi</t>
  </si>
  <si>
    <t xml:space="preserve">  overbought. Điều này chỉ áp dụng cho 1 thời kỳ biến động con khi đang hình thành 1 xu hướng thì sẽ không đúng</t>
  </si>
  <si>
    <t xml:space="preserve">  + Cách sử dụng giống như MACD, MFI cũng phân kì và hội tụ</t>
  </si>
  <si>
    <t>nhưng chỉ dùng trong trường hợp chưa rõ xu hướng</t>
  </si>
  <si>
    <t>- Leading indicator cho tín hiệu trước 1 xu hướng mới hoặc dấu hiệu đổi chiều(tín hiệu sớm MFI, RSI)</t>
  </si>
  <si>
    <t>- Lagging indicator cho tín hiệu sau khi xu hướng đã bắt đầu và thông báo như là: "Chào bạn, hãy chú ý, xu hướng đã bắt đầu và bạn đang bỏ lỡ nó"(tín hiệu chậm)</t>
  </si>
  <si>
    <t xml:space="preserve">bao gồm MA, MACD </t>
  </si>
  <si>
    <t xml:space="preserve">- Lagging indicator chỉ đưa tín hiệu sau khi giá thay đổi rõ ràng và tạo thành một xu hướng. Nhược điểm của nó là chúng ta sẽ vào lện chậm hơn  </t>
  </si>
  <si>
    <t>=&gt; Chỉ số nào giúp ta nhận biết một xu  hướng? =&gt; đó chính là MA và MACD, những chỉ số này sẽ giúp nhận biết xu hướng một khi nó được thành lập</t>
  </si>
  <si>
    <t>giá vào lệnh có thể trễ nhưng ngược lại ít khi cho tín hiệu sai =&gt; phải kết hợp các tín hiệu mua của MA và MACD đã note</t>
  </si>
  <si>
    <t>Ví dụ Tín hiệu mua: Nếu như MACD cắt lên trên đường tín hiệu đồng thời MA10 cắt lên MA20 =&gt; đây là tín hiệu mua</t>
  </si>
  <si>
    <t>- khi thị trường giảm mạnh có 1 số cổ phiếu đứng giá hoặc tăng -&gt; cổ phiếu mạnh</t>
  </si>
  <si>
    <t>- Điểm mua vượt đỉnh là điểm mua trong trend mạnh thì mới có ăn</t>
  </si>
  <si>
    <t>-----------------------Tổng hợp tín hiệu mua-------------------------</t>
  </si>
  <si>
    <t>- Khi vừa ở xu hướng giảm mạnh:</t>
  </si>
  <si>
    <t xml:space="preserve"> + MA20 đang đi ngang hoặc hướng lên, đồng thời có 1 cây nến vượt lên trên MA20 với vol lớn và không gặp kháng cự luôn,</t>
  </si>
  <si>
    <t xml:space="preserve"> Thông thường nếu giá cắt MA20 khi MA20 còn đang dốc xuống thì giá sẽ chưa tăng luôn mà sẽ side way quanh MA20 để kéo ngang MA20 ta sẽ mua khi giá cắt MA20 lần thứ 2,</t>
  </si>
  <si>
    <t xml:space="preserve"> hoặc để an toàn nhất ta nên mua khi giá break khỏi vùng tích lũy quanh MA20,nếu không mua kịp khi giá vừa vượt MA20 thì phải chờ 2 cây test sau khi vượt ma20,</t>
  </si>
  <si>
    <t xml:space="preserve"> nếu 2 cây test vẫn trên ma20 và không giảm quá nửa cây nến tăng vượt ma20 thì có thể mua, còn lại bán luôn </t>
  </si>
  <si>
    <t xml:space="preserve"> + MA10 cắt lên trên MA20</t>
  </si>
  <si>
    <t xml:space="preserve"> + MACD, RSI, MFI tạo phân kì dương( đáy chỉ số đỉnh sau cao hơn đáy trước mà giá lại đang giảm) hoặc hội tụ(cùng hướng lên) với đường giá thì đây là tín hiệu mua sớm(mua ít)</t>
  </si>
  <si>
    <t xml:space="preserve"> + RSI &lt; 30(quá bán) có khả năng tạo đáy và đi lên</t>
  </si>
  <si>
    <t xml:space="preserve"> + Tìm kiếm những cổ phiếu tích lũy tốt vol nhỏ -&gt; đặt lệnh điều kiện mua khi giá break qua vùng tích lũy đóng, nếu không mua kịp thì cũng phải chờ 2 cây test sau khi break thế nào</t>
  </si>
  <si>
    <t xml:space="preserve"> + Tìm những cổ phiếu có dấu hiệu tạo 2 đáy -&gt; đặt lệnh điều kiện mua khi giá break qua vùng đỉnh trung tâm,  nếu không mua kịp thì cũng phải chờ 2 cây test sau khi break thế nào</t>
  </si>
  <si>
    <t>- Điểm mua pull back MA10, MA20:</t>
  </si>
  <si>
    <t xml:space="preserve"> + Khi cổ phiếu vừa mới tăng mạnh gặp kháng cự yếu lần đầu thông thường sẽ giảm về MA10 đó sẽ là điểm mua được, nên mua ở giá gần xuống MA10</t>
  </si>
  <si>
    <t xml:space="preserve"> nên mua ở giá gần xuống MA20 và bán khi quay lại đỉnh cũ</t>
  </si>
  <si>
    <t xml:space="preserve"> điểm bán của ta nên là đáy của các vùng đó, chứ không nên tham bán ở đỉnh các vùng đó, nên mua lại khi giá vượt hẳn vùng kháng cự hoặc khi giá quay về ma10 hoặc ma20</t>
  </si>
  <si>
    <t xml:space="preserve"> nếu kháng cự yếu và xu hướng tăng mạnh thì mua lại ở MA10, nếu kháng cự mạnh và xu hướng tăng đã lâu có dấu hiệu suy yếu thì mua lại ở ma20(lần thứ 1)</t>
  </si>
  <si>
    <t xml:space="preserve"> =&gt; nên bán ở cạnh trên mây, muốn tăng được thì phải qua vùng mây mỏng hoặc chỗ có eo mây</t>
  </si>
  <si>
    <t xml:space="preserve"> + Cổ phiếu tăng mà có mây flash(mây xanh đè trên đầu) thì cũng khả năng bị điều chỉnh, tích lũy =&gt; đây chính là kháng cự và là điểm bán tạm thời, sau đó canh mua lại ở ma10 hoặc ma20 </t>
  </si>
  <si>
    <t xml:space="preserve"> + Trên đỉnh cây vol rất lớn nhưng giá biến động không lớn hơn 2% thì nên bán</t>
  </si>
  <si>
    <t xml:space="preserve"> + RSI &gt; 70(quá mua)</t>
  </si>
  <si>
    <t xml:space="preserve"> + MACD cắt xuống dưới đường tín hiệu</t>
  </si>
  <si>
    <t xml:space="preserve"> + MACD, RSI, MFI tạo phân kì âm với đường giá thì bán( đỉnh chỉ số đỉnh sau thấp hơn đỉnh trước mà giá lại tăng)</t>
  </si>
  <si>
    <t xml:space="preserve"> + MA10 cắt xuống dưới MA20</t>
  </si>
  <si>
    <t xml:space="preserve"> + MA20, MACD hướng xuống dưới</t>
  </si>
  <si>
    <t xml:space="preserve"> =&gt; nên bán ở cuối phiên, khi nến gần được hình thành rõ ràng vì trong phiên có thể biến động rất mạnh =&gt; lúc này ta có thể nhìn nhận xu hướng 1 cách rõ ràng</t>
  </si>
  <si>
    <t xml:space="preserve">- Tại mỗi phiên giao dịch real time: </t>
  </si>
  <si>
    <t>+ 15 phút lọc các cổ phiếu breakout theo từng mốc 1 tuần, 1 tháng, 3 tháng, 52 tuần</t>
  </si>
  <si>
    <t>- Sau mỗi phiên giao dịch:</t>
  </si>
  <si>
    <t xml:space="preserve">- Sau mỗi quý: </t>
  </si>
  <si>
    <t>- Điểm mua break:</t>
  </si>
  <si>
    <t>-----------------------Tổng hợp tín hiệu bán-------------------------</t>
  </si>
  <si>
    <t>-----------------------Kinh nghiệm giao dịch hằng ngày-------------------------</t>
  </si>
  <si>
    <t>-----------------------Lọc cổ phiếu để theo dõi-------------------------</t>
  </si>
  <si>
    <t>+ 15 phút lọc các cổ có giá vượt MA20 để phân tích kĩ thuật nếu ok thì mua</t>
  </si>
  <si>
    <t>+ lọc cổ phiếu gần tích lũy tốt quanh ma20 để theo dõi nếu đẹp có thể đặt lệnh dừng mua khi vượt ma20</t>
  </si>
  <si>
    <t>- Vốn chủ sở hữu = tổng tài sản - tổng nợ phải trả</t>
  </si>
  <si>
    <t>- Giá trị sổ sách /cp: được tính bằng vốn chủ sở hữu chia tổng khối lượng cổ phiếu đang lưu hành</t>
  </si>
  <si>
    <t>- P/B: Chỉ số này so sánh giá thị trường của cổ phiếu với giá trị sổ sách của công ty trên mỗi cổ phiếu. chỉ có tác dụng lúc thị trường khủng hoảng, hoặc là lúc ta mua</t>
  </si>
  <si>
    <t>-----------------------Kiến thức cơ bản-------------------------</t>
  </si>
  <si>
    <t>-----------------------Kiến thức PTKT(Thầy Toại)-------------------------</t>
  </si>
  <si>
    <t>- Nến Doji: Thân nến rất mỏng hoặc không có, cho thấy sự do dự hoặc đảo chiều xu hướng.</t>
  </si>
  <si>
    <t>- Nến Hammer (Búa): Có thân nến ngắn, bóng dưới dài, thể hiện khả năng đảo chiều tăng trong xu hướng giảm.</t>
  </si>
  <si>
    <t>- Nến Shooting Star: Có thân nến ngắn, bóng trên dài, cho thấy khả năng đảo chiều giảm trong xu hướng tăng.</t>
  </si>
  <si>
    <t>- Nến Engulfing (Nhấn chìm): Thân nến lớn hoàn toàn bao phủ thân nến trước đó, thường báo hiệu sự đảo chiều mạnh.</t>
  </si>
  <si>
    <t>- Nến giảm là nến có giá thấp nhất và cao nhất nhỏ hơn nến trước</t>
  </si>
  <si>
    <t>- Nến inside bar là nên có giá cao nhất và thấp nhất nằm hoàn trong cây nến trước đóng</t>
  </si>
  <si>
    <t>- Nến outside bar là nến có giá trị cao nhất và thấp nhất bao cả cây nến trước đó</t>
  </si>
  <si>
    <t>- Nến tăng mà vol lớn thì khả năng tăng rất cao, nến giảm mà vol lớn thì khả năng giảm rất cao, nến có thân nến ngắn mà vol lớn thì có khả năng giảm cao</t>
  </si>
  <si>
    <t>- Đỉnh thứ cấp là đỉnh sau cao hơn đỉnh trước</t>
  </si>
  <si>
    <t>- Đỉnh cơ bản đỉnh sau thấp hơn đỉnh trước</t>
  </si>
  <si>
    <t>- sideway thì có nhóm tăng có nhóm giảm</t>
  </si>
  <si>
    <t>- Nếu không có khối lượng thì mọi thứ đều không di chuyển, nếu sự vận động của giá và khối lượng không tương xứng với nhau thì chắc chắn có điều gì không ổn đang diễn ra</t>
  </si>
  <si>
    <t>- Nếu khôí lượng thấp mà biến động mạnh thì điều đó là bất thường(không vào) và ngược lại nếu khối lượng giao dịch cao mà chuyển động giá lại nhỏ thì cũng là bất thường</t>
  </si>
  <si>
    <t>- Nếu trong xu hướng tăng ở trên đỉnh nếu vol cao mà giá không tăng nổi thì sau đó sẽ điều chỉnh giảm</t>
  </si>
  <si>
    <t>- Giao dịch theo sự giao cắt giữa giá và MA</t>
  </si>
  <si>
    <t xml:space="preserve">- Dải Bollinger bands: là công cụ kết hợp giữa đường trung bình động và độ lệch chuẩn nhằm đưa ra dự báo về khả năng dao động của cổ phiếu, Cơ sở của </t>
  </si>
  <si>
    <t>- Chỉ số RSI: RSI cho biết tỉ lệ giữa bình quân mức tăng của giá đóng cửa qua X ngày so với Bình quân mức giảm giá đóng cửa X ngày</t>
  </si>
  <si>
    <t>- Khi sử dụng leading indicator chúng ta sẽ trải nghiệm rất nhiều tín hiệu giả, leading indicator nổi tiếng cho tín hiệu không có thật đánh lừa chúng ta</t>
  </si>
  <si>
    <t>- Sự lựa chọn khác là sử dụng công cụ không cho tín hiệu giả đó là lagging indicator.</t>
  </si>
  <si>
    <t>- Chúng đều có thể hỗ trợ cũng như xung đột với nhau. Do đó chúng ta không nên chỉ sử dụng một chỉ báo nào mà chúng ta cần hiểu được những ưu điểm và nhược</t>
  </si>
  <si>
    <t>- Sáng kiểm tra sổ lệnh thấy kê tới đâu nhiều thì nên chốt để xuống dưới vào tiếp</t>
  </si>
  <si>
    <t>- Cổ phiếu mạnh là cổ phiếu thường không hay test lại vùng MA20, MA50</t>
  </si>
  <si>
    <t>- Cổ phiếu ngách là cổ phiếu kéo khi thị trường đi ngang, khi nhóm thị trường tăng thì có khả năng vốn lại rút từ ngách về thị trường</t>
  </si>
  <si>
    <t>- Điểm mua sớm là điểm mua pull back ở MA200</t>
  </si>
  <si>
    <t>- Điểm mua gia tăng là điểm mua lúc cổ phiếu đã tăng và tích lũy</t>
  </si>
  <si>
    <t>- Đối với cổ phiếu đã vượt định thời đại, thì không còn cung về bờ, chỉ còn cung chốt lãi</t>
  </si>
  <si>
    <t>- Năm 2024:</t>
  </si>
  <si>
    <t>- Số tài khoản:</t>
  </si>
  <si>
    <t>- Ngày đầu tiên giao dịch:  5/8/2024</t>
  </si>
  <si>
    <t xml:space="preserve">- Tổng nạp: </t>
  </si>
  <si>
    <t>+ Hết năm 2024 : 148.4</t>
  </si>
  <si>
    <t>+ Tổng vốn: 118 + 9 + 6 + 1= 134</t>
  </si>
  <si>
    <t>+ Kết quả: lãi 10.5%</t>
  </si>
  <si>
    <t>- Năm 2025:</t>
  </si>
  <si>
    <t>Tài khoản</t>
  </si>
  <si>
    <t>20/5/2025</t>
  </si>
  <si>
    <t>220.305</t>
  </si>
  <si>
    <t>225.684</t>
  </si>
  <si>
    <t>223.092</t>
  </si>
  <si>
    <t>23/5/2025</t>
  </si>
  <si>
    <t>225.820</t>
  </si>
  <si>
    <t>26/5/2025</t>
  </si>
  <si>
    <t>238.723</t>
  </si>
  <si>
    <t>249.093</t>
  </si>
  <si>
    <t>28/5/2025</t>
  </si>
  <si>
    <t>245.380</t>
  </si>
  <si>
    <t>242.741</t>
  </si>
  <si>
    <t>30/5/2025</t>
  </si>
  <si>
    <t>240.094</t>
  </si>
  <si>
    <t>Ghi chú</t>
  </si>
  <si>
    <t>Cho vay:</t>
  </si>
  <si>
    <t>- Dũng: 5 + 1 - 2</t>
  </si>
  <si>
    <t>- Quang: 3</t>
  </si>
  <si>
    <t>2/6/2025</t>
  </si>
  <si>
    <t>27.4, 29.1</t>
  </si>
  <si>
    <t>MBS</t>
  </si>
  <si>
    <t>249.961</t>
  </si>
  <si>
    <t>3/6/2025</t>
  </si>
  <si>
    <t>39 là kháng cự, đỉnh cũ và ma200</t>
  </si>
  <si>
    <t>31 là kháng cự</t>
  </si>
  <si>
    <t>253.594</t>
  </si>
  <si>
    <t>Biến động</t>
  </si>
  <si>
    <t>4/6/2025</t>
  </si>
  <si>
    <t>261.551</t>
  </si>
  <si>
    <t>5/6/2025</t>
  </si>
  <si>
    <t>VTP</t>
  </si>
  <si>
    <t>258.470</t>
  </si>
  <si>
    <t>mất ma20 1 cây, macd cắt xuống dưới, chờ cây sau ko lên lại được ma20 thì cắt</t>
  </si>
  <si>
    <t>sau break, 2 cây test ok</t>
  </si>
  <si>
    <t>6/6/2025</t>
  </si>
  <si>
    <t>253.321</t>
  </si>
  <si>
    <t xml:space="preserve"> macd có dấu hiệu tạo phân kì âm, nếu mai tiếp tục mất ma10 thì cắt, chờ mua lại khi giá về ma20</t>
  </si>
  <si>
    <t>mất ma20 1 cây, mai không lên lại được thì cắt luôn</t>
  </si>
  <si>
    <t xml:space="preserve">mất ma20 1 cây, cây sau không lên được thì cắt </t>
  </si>
  <si>
    <t>33.1, -5</t>
  </si>
  <si>
    <t>55.1, -5</t>
  </si>
  <si>
    <t>14, -5</t>
  </si>
  <si>
    <t>9/6/2025</t>
  </si>
  <si>
    <t xml:space="preserve">giá tăng lại tốt trong lúc thị trường giảm =&gt; khỏe </t>
  </si>
  <si>
    <t>VND</t>
  </si>
  <si>
    <t>251.701</t>
  </si>
  <si>
    <t>HPG</t>
  </si>
  <si>
    <t>10/6/2025</t>
  </si>
  <si>
    <t>252.323</t>
  </si>
  <si>
    <t>249.926</t>
  </si>
  <si>
    <t>11/6/2025</t>
  </si>
  <si>
    <t>12/6/2025</t>
  </si>
  <si>
    <t>257.367</t>
  </si>
  <si>
    <t>13/6/2025</t>
  </si>
  <si>
    <t>251.393</t>
  </si>
  <si>
    <t>16/6/2025</t>
  </si>
  <si>
    <t>263.771</t>
  </si>
  <si>
    <t>17/6/2025</t>
  </si>
  <si>
    <t>266</t>
  </si>
  <si>
    <t>13.2</t>
  </si>
  <si>
    <t>14.2</t>
  </si>
  <si>
    <t>-1.9</t>
  </si>
  <si>
    <t>Lãi/Lỗ(Tuần)</t>
  </si>
  <si>
    <t>18/6/2025</t>
  </si>
  <si>
    <t>266.248</t>
  </si>
  <si>
    <t>vẫn xu hướng tăng chậm, macd lên tới 0 chưa có đỉnh</t>
  </si>
  <si>
    <t>265.208</t>
  </si>
  <si>
    <t>34.4, -5</t>
  </si>
  <si>
    <t>19/6/2025</t>
  </si>
  <si>
    <t>20/6/2025</t>
  </si>
  <si>
    <t>265.248</t>
  </si>
  <si>
    <t>13.855</t>
  </si>
  <si>
    <t>23/6/2025</t>
  </si>
  <si>
    <t>264.228</t>
  </si>
  <si>
    <t>giá lên lại được ma20</t>
  </si>
  <si>
    <t>24/6/2025</t>
  </si>
  <si>
    <t>267.749</t>
  </si>
  <si>
    <t>25/6/2025</t>
  </si>
  <si>
    <t>266.154</t>
  </si>
  <si>
    <t>giá giảm mất ma20 2 cây liên tục, đặt lệnh dừng thủng 14.25 thì bán</t>
  </si>
  <si>
    <t>14.25, -5</t>
  </si>
  <si>
    <t>Đã huỷ lệnh bán đặt trước =&gt; Ko nên thấy giá tăng mà tham hoặc dao động khi nghe tin tức mà huỷ lệnh bán đã cài sẵn, MA200 lần đầu và đáy vùng kháng cự là điểm bán hợp lý</t>
  </si>
  <si>
    <t>26/6/2025</t>
  </si>
  <si>
    <t>Nên bán ở đáy vùng kháng cự, đừng tham nữa quá nhiều lần rồi</t>
  </si>
  <si>
    <t>MSR</t>
  </si>
  <si>
    <t>giá mất ma20 1 cây</t>
  </si>
  <si>
    <t>267.349</t>
  </si>
  <si>
    <t>BID</t>
  </si>
  <si>
    <t>VGI</t>
  </si>
  <si>
    <t>27/6/2025</t>
  </si>
  <si>
    <t>Mua theo tin thì phải bán theo tin</t>
  </si>
  <si>
    <t>269</t>
  </si>
  <si>
    <t>3.752</t>
  </si>
  <si>
    <t>30/6/2025</t>
  </si>
  <si>
    <t>270.153</t>
  </si>
  <si>
    <t>1/7/2025</t>
  </si>
  <si>
    <t>266.571</t>
  </si>
  <si>
    <t>sai lầm đã ko đặt lệnh bán ở đáy vùng kháng cự</t>
  </si>
  <si>
    <t>2/7/2025</t>
  </si>
  <si>
    <t>270.823</t>
  </si>
  <si>
    <t>3/7/2025</t>
  </si>
  <si>
    <t>271.611</t>
  </si>
  <si>
    <t>35.4, -5</t>
  </si>
  <si>
    <t>4/7/2025</t>
  </si>
  <si>
    <t>vẫn đang tích lũy</t>
  </si>
  <si>
    <t>giá chuẩn bị vượt đỉnh cẩn thận phân kì âm</t>
  </si>
  <si>
    <t>vẫn tích lũy trên ma20, phía trước là mây xanh</t>
  </si>
  <si>
    <t>277.811</t>
  </si>
  <si>
    <t>8.811</t>
  </si>
  <si>
    <t>- eps là lãi của 1 cổ phiếu bằng tổng lợi nhuận sau thuế - cổ tức cổ phiếu ưu đãi chia cho tổng số lượng cổ phiếu đang lưu hành</t>
  </si>
  <si>
    <t>- P/E: là chỉ số mô tả để kiếm được 1 đồng  lãi eps ta cần bao nhiêu đồng vốn, nó được tính bằng giá cổ phiếu chia eps</t>
  </si>
  <si>
    <t>KL</t>
  </si>
  <si>
    <t>5000</t>
  </si>
  <si>
    <t>2500</t>
  </si>
  <si>
    <t>3500</t>
  </si>
  <si>
    <t>2600</t>
  </si>
  <si>
    <t>400</t>
  </si>
  <si>
    <t>1200</t>
  </si>
  <si>
    <t>18.3, -5</t>
  </si>
  <si>
    <t>7/7/2025</t>
  </si>
  <si>
    <t>giá vượt đỉnh, macd cắt đường tín hiệu</t>
  </si>
  <si>
    <t>cây nến tăng tốt vol tốt, kháng cự tiếp theo ma200</t>
  </si>
  <si>
    <t>kháng cự tiếp theo ma200 38.4</t>
  </si>
  <si>
    <t>284.148</t>
  </si>
  <si>
    <t>8/7/2025</t>
  </si>
  <si>
    <t>288.683</t>
  </si>
  <si>
    <t>9/7/2025</t>
  </si>
  <si>
    <t>291.528</t>
  </si>
  <si>
    <t>10/7/2025</t>
  </si>
  <si>
    <t>2200</t>
  </si>
  <si>
    <t>Giá vượt MA20, macd sắp cắt đường tín hiệu</t>
  </si>
  <si>
    <t>dễ tạo mẫu hình 2 đỉnh macd phân kì âm, mai mất ma20 thì cắt</t>
  </si>
  <si>
    <t>290.589</t>
  </si>
  <si>
    <t>11/7/2025</t>
  </si>
  <si>
    <t>1500</t>
  </si>
  <si>
    <t>287.776</t>
  </si>
  <si>
    <t>9.965</t>
  </si>
  <si>
    <t>15, 14.7</t>
  </si>
  <si>
    <t>14/7/2025</t>
  </si>
  <si>
    <t>DPR</t>
  </si>
  <si>
    <t>20 là kháng cự mạnh gần nhất</t>
  </si>
  <si>
    <t>292.818</t>
  </si>
  <si>
    <t xml:space="preserve">kháng cự gần nhất 22.4 là ma200 </t>
  </si>
  <si>
    <t>15/7/2025</t>
  </si>
  <si>
    <t>9000</t>
  </si>
  <si>
    <t>293.107</t>
  </si>
  <si>
    <t>17.6, 17</t>
  </si>
  <si>
    <t>16/7/2025</t>
  </si>
  <si>
    <t>cây nên tăng tốt vol tốt, có khả năng break đỉnh hướng lên 20</t>
  </si>
  <si>
    <t>296.974</t>
  </si>
  <si>
    <t>17/7/2025</t>
  </si>
  <si>
    <t>PHP</t>
  </si>
  <si>
    <t>800</t>
  </si>
  <si>
    <t>4200</t>
  </si>
  <si>
    <t>299.942</t>
  </si>
  <si>
    <t>MSN</t>
  </si>
  <si>
    <t>18/7/2025</t>
  </si>
  <si>
    <t>500</t>
  </si>
  <si>
    <t>300.794</t>
  </si>
  <si>
    <t>13.018</t>
  </si>
  <si>
    <t>21/7/2025</t>
  </si>
  <si>
    <t>22/7/2025</t>
  </si>
  <si>
    <t>23/7/2025</t>
  </si>
  <si>
    <t>24/7/2025</t>
  </si>
  <si>
    <t>25/7/2025</t>
  </si>
  <si>
    <t>333.7</t>
  </si>
  <si>
    <t>33</t>
  </si>
  <si>
    <t>cổ phiếu yếu, thị trường tăng ko tăng nhưng hiện vẫn giữ được đường chéo dưới, macd cắt xuống dưới đường tín hiệu</t>
  </si>
  <si>
    <t>28/7/2025</t>
  </si>
  <si>
    <t>156</t>
  </si>
  <si>
    <t>20.962</t>
  </si>
  <si>
    <t>360.662</t>
  </si>
  <si>
    <t>354.662 + 6(nạp thêm 6 tr)</t>
  </si>
  <si>
    <t>29/7/2025</t>
  </si>
  <si>
    <t>HBC</t>
  </si>
  <si>
    <t>Thị trường giảm 64 điểm vol 54.8k tỉ danh mục 6 cổ sàn</t>
  </si>
  <si>
    <t>Giá mất ma20, 1 cây mai tiếp tục giảm tiếp thì cắt</t>
  </si>
  <si>
    <t>mất ma20 1 cây, mai ko lên được thì cắt</t>
  </si>
  <si>
    <t>Thủng đáy, mất ma20, macd phân kì âm, mai giảm tiếp cắt luôn</t>
  </si>
  <si>
    <t>Đã đặt lệnh dừng cắt lỗ nhưng không được kích hoạt vì giá giảm tới điểm kích hoạt trong phiên atc</t>
  </si>
  <si>
    <t>giá giảm nhưng chưa mất vùng tích lũy, chiều mai hàng về  nếu tiếp tục thủng thì bán</t>
  </si>
  <si>
    <t>323</t>
  </si>
  <si>
    <t>30/7/2025</t>
  </si>
  <si>
    <t>Chủ quan không đặt lệnh dừng bán khi thủng đáy</t>
  </si>
  <si>
    <t>323.218</t>
  </si>
  <si>
    <t>31/7/2025</t>
  </si>
  <si>
    <t>Nên bán ở kháng cự, vượt mua lại, đừng tham nữa, tuân thủ phương pháp đi</t>
  </si>
  <si>
    <t>318.3</t>
  </si>
  <si>
    <t>1/8/2025</t>
  </si>
  <si>
    <t>313.7</t>
  </si>
  <si>
    <t>-26</t>
  </si>
  <si>
    <t>macd 2 đỉnh phân kì âm, giá nằm dưới ma20 2 cây rồi ko lên được thì cắt</t>
  </si>
  <si>
    <t>+ Trường hợp cổ phiếu break lên tới giá trần thì theo dõi nếu cổ phiếu khớp hết nửa khối lượng ở vùng giá trần thì có thể vào lệnh mua ở giá trần</t>
  </si>
  <si>
    <t>4/8/2025</t>
  </si>
  <si>
    <t>330.799</t>
  </si>
  <si>
    <t>5/8/2025</t>
  </si>
  <si>
    <t>HDG</t>
  </si>
  <si>
    <t>324.229</t>
  </si>
  <si>
    <t>6/8/2025</t>
  </si>
  <si>
    <t>336</t>
  </si>
  <si>
    <t>giá lên lại được MA20, macd mới có 1 đỉnh</t>
  </si>
  <si>
    <t>7/8/2025</t>
  </si>
  <si>
    <t>349.464</t>
  </si>
  <si>
    <t>8/8/2025</t>
  </si>
  <si>
    <t>6900</t>
  </si>
  <si>
    <t>356.403</t>
  </si>
  <si>
    <t>42.7</t>
  </si>
  <si>
    <t>11/8/2025</t>
  </si>
  <si>
    <t>363.091</t>
  </si>
  <si>
    <t>12/8/2025</t>
  </si>
  <si>
    <t>CSV</t>
  </si>
  <si>
    <t>600</t>
  </si>
  <si>
    <t>363.591</t>
  </si>
  <si>
    <t>13/8/2025</t>
  </si>
  <si>
    <t>break đỉnh gần nhất, nếu thủng đỉnh này thì cắt</t>
  </si>
  <si>
    <t>373.241</t>
  </si>
  <si>
    <t>14.75, -5</t>
  </si>
  <si>
    <t>14/8/2025</t>
  </si>
  <si>
    <t>giá mất ma20 1 cây, mai ko lên được thì cắt</t>
  </si>
  <si>
    <t>392.678</t>
  </si>
  <si>
    <t>15/8/2025</t>
  </si>
  <si>
    <t>19.9, 17.7</t>
  </si>
  <si>
    <t>mất ma20 2 cây, mai xem thủng vùng hỗ trợ thì bán</t>
  </si>
  <si>
    <t>376.721</t>
  </si>
  <si>
    <t>20.318</t>
  </si>
  <si>
    <t>18/8/2025</t>
  </si>
  <si>
    <t>380.572</t>
  </si>
  <si>
    <t>19/8/2025</t>
  </si>
  <si>
    <t>402.654</t>
  </si>
  <si>
    <t>20/8/2025</t>
  </si>
  <si>
    <t>HAG</t>
  </si>
  <si>
    <t>3100</t>
  </si>
  <si>
    <t>402.749</t>
  </si>
  <si>
    <t>tăng trần vol lớn nhất mọi thời đại</t>
  </si>
  <si>
    <t>21/8/2025</t>
  </si>
  <si>
    <t>giá giảm về gần ma20, mất ma20 thì bán</t>
  </si>
  <si>
    <t>SCS</t>
  </si>
  <si>
    <t>404.783</t>
  </si>
  <si>
    <t>22/8/2025</t>
  </si>
  <si>
    <t>Giảm 1 cây gần sàn vol lớn xuyên qua Ma20 mai ko lên được ma20 thì phải cắt</t>
  </si>
  <si>
    <t>367.907</t>
  </si>
  <si>
    <t>-8.814</t>
  </si>
  <si>
    <t>ko nên chủ quan, nên cài lệnh dừng nếu thủng trend line dưới</t>
  </si>
  <si>
    <t>25/8/2025</t>
  </si>
  <si>
    <t>6000</t>
  </si>
  <si>
    <t>7700</t>
  </si>
  <si>
    <t>351.491</t>
  </si>
  <si>
    <t>26/8/2025</t>
  </si>
  <si>
    <t>BSI</t>
  </si>
  <si>
    <t>1100</t>
  </si>
  <si>
    <t>363.275</t>
  </si>
  <si>
    <t>27/8/2025</t>
  </si>
  <si>
    <t>3400</t>
  </si>
  <si>
    <t>CEO</t>
  </si>
  <si>
    <t>352.165</t>
  </si>
  <si>
    <t>giá vẫn tích luỹ trên ma20, ma10 cắt lên trên ma20</t>
  </si>
  <si>
    <t>28/8/2025</t>
  </si>
  <si>
    <t>357.568</t>
  </si>
  <si>
    <t>29/8/2025</t>
  </si>
  <si>
    <t>giá vẫn trên ma20 nhưng gần tới ma20, cần quan sát kĩ</t>
  </si>
  <si>
    <t>cây tăng xanh nhưng nến hơi xấu, theo dõi quay lại đỉnh cũ bán</t>
  </si>
  <si>
    <t>365.478</t>
  </si>
  <si>
    <t>-2.429</t>
  </si>
  <si>
    <t>+ Bán khi cổ phiếu thủng đường trend line dưới vol lớn, nếu phá vol nhỏ thì chờ 1 cây test xem thế nào, nếu tiếp tục dưới trend line thì cắt, còn bật lại vol lớn thì có thể mua thêm</t>
  </si>
  <si>
    <t>- Điểm mua về gần vùng hỗ trợ mạnh(trend line dưới, ma200, vùng tích luỹ lâu)</t>
  </si>
  <si>
    <t xml:space="preserve"> + Khi cổ phiếu đang trong xu hướng tăng đang dao động trong cây song song hướng lên, nó có thể về test đường trend line dưới, ta có thể mua khi nó gần về đường trend line dưới, </t>
  </si>
  <si>
    <t>nếu thủng trend line dưới vol lớn thì phải bán, nếu thủng vol nhỏ và break lại trend line vol lớn có thể mua thêm</t>
  </si>
  <si>
    <t>các vùng hỗ trợ này thì phải bán rứt khoát</t>
  </si>
  <si>
    <t xml:space="preserve">+ Tương tự ta có thể mua ở các vùng hỗ trợ mạnh như các vùng đỉnh cũ sau khi break giá quay lại test, hoặc giá giảm gần về ma200, vùng hỗ trợ mạnh nhưng lưu ý nếu giá tiếp tục thủng </t>
  </si>
  <si>
    <t>Trạng thái hiện tại</t>
  </si>
  <si>
    <t>Kết quả thực tế/ Bài học rút ra</t>
  </si>
  <si>
    <t>Lý do mua</t>
  </si>
  <si>
    <t>- Trước phiên:</t>
  </si>
  <si>
    <t>- Trong phiên:</t>
  </si>
  <si>
    <t>- Sau phiên:</t>
  </si>
  <si>
    <t>khi mua cũng cần phải chú ý thế mây ichimoku, nếu phía trước có đám mây đỏ dày ngay trên đầu thì ko nên mua vì đó là kháng cự mạnh, thông thường khi giá chạm vào cạnh mây sẽ giảm xuống</t>
  </si>
  <si>
    <t>3/9/2025</t>
  </si>
  <si>
    <t>369.519</t>
  </si>
  <si>
    <t>4/9/2025</t>
  </si>
  <si>
    <t>CTR</t>
  </si>
  <si>
    <t>372.728</t>
  </si>
  <si>
    <t>giá 2 cây dưới MA20</t>
  </si>
  <si>
    <t>có chui vào được mây cũng giao dịch trong mây, muốn tăng được thì phải tìm điểm có eo mây để đi qua</t>
  </si>
  <si>
    <t>+ lọc cổ phiếu tăng trưởng doanh thu, lợi nhuận để xem xét phân tích kĩ thuật</t>
  </si>
  <si>
    <t xml:space="preserve">   với vol lớn thì cũng nên xem xét bán </t>
  </si>
  <si>
    <t>16.1, -5</t>
  </si>
  <si>
    <t>39, -5</t>
  </si>
  <si>
    <t>5/9/2025</t>
  </si>
  <si>
    <t>PC1</t>
  </si>
  <si>
    <t>macd mới có 1 đỉnh, ma20 còn đang hướng lên mua  pull back ma20</t>
  </si>
  <si>
    <t>356.958</t>
  </si>
  <si>
    <t>-8.52</t>
  </si>
  <si>
    <t>giá giảm về gần ma20</t>
  </si>
  <si>
    <t>vượt ma20 thất bại, hàng về ko lên lại được phải cắt lỗ</t>
  </si>
  <si>
    <t xml:space="preserve">giảm 1 cây hương khá xấu nhưng giá vẫn trên ma20 </t>
  </si>
  <si>
    <t>cây nến shooting star xấu, vol khá nhưng giá vẫn ở tham chiếu trong phiên vni giảm mạnh, nếu vni giảm mà vật vờ giảm ít có thể múc thêm</t>
  </si>
  <si>
    <t xml:space="preserve"> + Nếu không bắt đáy  thì chỉ mua khi MACD cắt đường tín hiệu đi lên(mua dò đáy thì cũng mua với tỉ trọng rất nhỏ)</t>
  </si>
  <si>
    <t xml:space="preserve"> điểm cắt lỗ nếu giảm quá nửa cây break tăng, điểm cắt lỗ nếu từ đỉnh giảm  quá 5%</t>
  </si>
  <si>
    <t>50.5, -5</t>
  </si>
  <si>
    <t>8/9/2025</t>
  </si>
  <si>
    <t>338.330</t>
  </si>
  <si>
    <t>+ Đặt các điểm cắt lỗ mặc định, điểm cắt lỗ thủng nền, thủng đáy, thủng trend line dưới,  điểm cắt lỗ nếu thủng vùng hỗ trợ sau khi mua  break hàng về,</t>
  </si>
  <si>
    <t>+ Xem xét lại danh mục, lên kịch bản cho từng cổ phiếu</t>
  </si>
  <si>
    <t>+ Trước mỗi phiên giao dịch đọc lại điểm mua bán</t>
  </si>
  <si>
    <t>+ Luôn giữ kỷ luật, không phá vỡ nguyên tắc vì cảm xúc, trong phiên không hủy lệnh dừng đã đặt(đạt kì vọng rồi thì thôi đừng tham, tham là chết)</t>
  </si>
  <si>
    <t>+ Nên mua bán ở phiên chiều, phiên chiều sẽ uy tín hơn, ít bị úp bô hơn</t>
  </si>
  <si>
    <t>+ Lúc 14h10 cần theo dõi sát bảng để xem xét nến nếu có mất MA20 hoặc có các cây nến xấu vol lớn thì xem xét bán</t>
  </si>
  <si>
    <t>+ Khi có thông tin sự kiện ảnh hưởng lớn đến thị trường phải cắt lỗ nhanh, xem xét lại các lệnh ĐK đã đặt</t>
  </si>
  <si>
    <t>+ Kết thúc phiên giao dịch phải tổng kết thị trường, đánh giá từng cổ phiếu, ghi nhật ký giao dịch, ghi ra những điểm đúng/sai, điểm vi phạm nguyên tắc để rút kinh nghiệm.</t>
  </si>
  <si>
    <t>2 đáy break đỉnh trung tâm, giá cắt ma20, macd cắt lên trên</t>
  </si>
  <si>
    <t>1300</t>
  </si>
  <si>
    <t>CII</t>
  </si>
  <si>
    <t>giá vượt ma20, ma20 vẫn đang hướng lên</t>
  </si>
  <si>
    <t>9/9/2025</t>
  </si>
  <si>
    <t>10/9/2025</t>
  </si>
  <si>
    <t>11/9/2025</t>
  </si>
  <si>
    <t>338.249</t>
  </si>
  <si>
    <t>giá vượt ma20, có dấu  hiệu tạo mẫu hình 2 đáy, macd cắt lên trên đường tín hiệu</t>
  </si>
  <si>
    <t>Không đặt sẵn lệnh điều kiện khi giá về gần trend line dưới, sau phải nhớ, ko được chủ quan</t>
  </si>
  <si>
    <t>Lệnh ĐK chốt lãi</t>
  </si>
  <si>
    <t>Lệnh ĐK cắt lỗ</t>
  </si>
  <si>
    <t>12/9/2025</t>
  </si>
  <si>
    <t>mua break đỉnh</t>
  </si>
  <si>
    <t>-14.5</t>
  </si>
  <si>
    <t>15/9/2025</t>
  </si>
  <si>
    <t>4.2</t>
  </si>
  <si>
    <t>346.449</t>
  </si>
  <si>
    <t>nạp thêm 4 tr để tròn vốn 200tr</t>
  </si>
  <si>
    <t>CTD</t>
  </si>
  <si>
    <t>350.613</t>
  </si>
  <si>
    <t>+ Khi mua cổ phiếu hàng về cần đặt luôn lệnh ĐK: cắt lỗ mặc định -5%, cắt lỗ, chốt lãi</t>
  </si>
  <si>
    <t>+ Tìm những cổ phiếu break các đường trend line chéo, ngang vol lớn để mua, break trend line ngang uy tín hơn trend chéo</t>
  </si>
  <si>
    <t xml:space="preserve"> + Cổ phiếu tăng mà có mây đỏ dày đè trên thì khả năng khó tăng mạnh, kháng cự sẽ là cạnh dưới mây, nếu rúc vào được mây thì cũng giao dịch trong mây </t>
  </si>
  <si>
    <t xml:space="preserve"> + Ghi chú:  kết hợp các tín hiệu thường sẽ chậm nhưng chắc chắn, ta có thể bán sớm hơn dựa vào phân tích nến, trong xu hương tăng nếu xuất hiện cây nến shooting star và doji</t>
  </si>
  <si>
    <t xml:space="preserve"> + Ghi Chú: kết hợp các tín hiệu thường sẽ chậm nhưng chắc chắn, ta có thể mua sớm hơn dựa vào phân tích nến, trong xu hướng giảm có 1 cây nến hummer với vol lớn =&gt; có thể mua ít</t>
  </si>
  <si>
    <t>16/9/2025</t>
  </si>
  <si>
    <t>vượt ma20, break đỉnh trung tâm, 4 cây tích luỹ vẫn trên ma20</t>
  </si>
  <si>
    <t>342.193</t>
  </si>
  <si>
    <t>17/9/2025</t>
  </si>
  <si>
    <t>330.876</t>
  </si>
  <si>
    <t>18/9/2025</t>
  </si>
  <si>
    <t>tích luỹ tốt trên ma20, macd cắt đường tín hiệu</t>
  </si>
  <si>
    <t>1800</t>
  </si>
  <si>
    <t>1 cây nến giảm xấu, giá sắp mất ma20</t>
  </si>
  <si>
    <t>giá giảm mất đỉnh tích luỹ, break ko thành công</t>
  </si>
  <si>
    <t>326.253</t>
  </si>
  <si>
    <t>19/9/2025</t>
  </si>
  <si>
    <t>324.767</t>
  </si>
  <si>
    <t>-21.682</t>
  </si>
  <si>
    <t>Ngày bán</t>
  </si>
  <si>
    <t>+ Đặt sẵn lệnh ĐK ở các điểm mua vượt ma20, break, chốt lời vùng kháng cự</t>
  </si>
  <si>
    <t xml:space="preserve"> + Khi thấy 2 biên của bollinger band xiết chặt lại + vol nhỏ =&gt; sắp có biến động lớn có thể sắp bật tăng hoặc giảm thủng vùng tích lũy nên đặt sẵn lệnh ĐK mua bán</t>
  </si>
  <si>
    <t xml:space="preserve"> + Khi cổ phiếu tăng mạnh gặp kháng cự trung bình hoặc mạnh lần đầu thông thường sẽ giảm về MA20 đó sẽ là điểm mua được, chỉ mua khi pull back MA20 lần đầu và</t>
  </si>
  <si>
    <t>22/9/2025</t>
  </si>
  <si>
    <t>PDR</t>
  </si>
  <si>
    <t>1000</t>
  </si>
  <si>
    <t>318.767</t>
  </si>
  <si>
    <t>giá giảm về gần đáy, thủng thì phải cắt</t>
  </si>
  <si>
    <t>mua khi giá vượt ma20</t>
  </si>
  <si>
    <t>SZC</t>
  </si>
  <si>
    <t>YEG</t>
  </si>
  <si>
    <t>4300</t>
  </si>
  <si>
    <t>23/9/2025</t>
  </si>
  <si>
    <t>314.769</t>
  </si>
  <si>
    <t>79, -5</t>
  </si>
  <si>
    <t>24/9/2025</t>
  </si>
  <si>
    <t>327.5</t>
  </si>
  <si>
    <t>VGC</t>
  </si>
  <si>
    <t>25/9/2025</t>
  </si>
  <si>
    <t>328.890</t>
  </si>
  <si>
    <t>vẫn đang tích luỹ</t>
  </si>
  <si>
    <t>giá vượt đường trend line giảm, vượt ma20</t>
  </si>
  <si>
    <t>giá vượt qua vùng tích luỹ, vượt lên trên ma20</t>
  </si>
  <si>
    <t>26/9/2025</t>
  </si>
  <si>
    <t>323.284</t>
  </si>
  <si>
    <t>-1.483</t>
  </si>
  <si>
    <t>mất ma20 1 cây</t>
  </si>
  <si>
    <t>29/9/2025</t>
  </si>
  <si>
    <t>4000</t>
  </si>
  <si>
    <t xml:space="preserve">tích lũy nhiều cay trên ma20, vol xanh nhiều, macd cắt lên trên </t>
  </si>
  <si>
    <t>311.302</t>
  </si>
  <si>
    <t>mất ma20 2 cây</t>
  </si>
  <si>
    <t>vẫn tích lũy trên ma20</t>
  </si>
  <si>
    <t>30/9/2025</t>
  </si>
  <si>
    <t>vượt ma20</t>
  </si>
  <si>
    <t>299.458</t>
  </si>
  <si>
    <t>1/10/2025</t>
  </si>
  <si>
    <t>mua break</t>
  </si>
  <si>
    <t>305.309</t>
  </si>
  <si>
    <t>vẫn nằm trên ma20</t>
  </si>
  <si>
    <t>2/10/2025</t>
  </si>
  <si>
    <t>vượt ma20 vượt vùng tích lũy</t>
  </si>
  <si>
    <t>VPL</t>
  </si>
  <si>
    <t>296.668</t>
  </si>
  <si>
    <t>PET</t>
  </si>
  <si>
    <t>3/10/2025</t>
  </si>
  <si>
    <t>290.687</t>
  </si>
  <si>
    <t>-32.597</t>
  </si>
  <si>
    <t>13</t>
  </si>
  <si>
    <t>6/10/2025</t>
  </si>
  <si>
    <t>2000</t>
  </si>
  <si>
    <t>5700</t>
  </si>
  <si>
    <t>306.047</t>
  </si>
  <si>
    <t>7/10/2025</t>
  </si>
  <si>
    <t>LCG</t>
  </si>
  <si>
    <t>297.474</t>
  </si>
  <si>
    <t>8/10/2025</t>
  </si>
  <si>
    <t>299</t>
  </si>
  <si>
    <t>-5</t>
  </si>
  <si>
    <t>12.5</t>
  </si>
  <si>
    <t>9/10/2025</t>
  </si>
  <si>
    <t>307.172</t>
  </si>
  <si>
    <t>vẫn tích lũy vol nhỏ trên ma20, macd lên tới 0</t>
  </si>
  <si>
    <t>10/10/2025</t>
  </si>
  <si>
    <t>nạp thêm 15 triệu</t>
  </si>
  <si>
    <t>+ Tổng vốn: 148.4 + 20 + 15 + 10 + 1 + 10 + 6 + 4 + 15= 229.4</t>
  </si>
  <si>
    <t>900</t>
  </si>
  <si>
    <t>vượt chéo, vượt ma20</t>
  </si>
  <si>
    <t>322.975</t>
  </si>
  <si>
    <t>0.803</t>
  </si>
  <si>
    <t>tích lũy quanh ma20</t>
  </si>
  <si>
    <t>13/10/2025</t>
  </si>
  <si>
    <t>16.485</t>
  </si>
  <si>
    <t>316.213</t>
  </si>
  <si>
    <t>14/10/2025</t>
  </si>
  <si>
    <t>319.876</t>
  </si>
  <si>
    <t>11.8</t>
  </si>
  <si>
    <t>15/10/2025</t>
  </si>
  <si>
    <t>325.327</t>
  </si>
  <si>
    <t>mất ma20 1 cây, mất tiếp bán</t>
  </si>
  <si>
    <t>16/10/2025</t>
  </si>
  <si>
    <t>326.662</t>
  </si>
  <si>
    <t>17/10/2025</t>
  </si>
  <si>
    <t>313.186</t>
  </si>
  <si>
    <t>cây giảm khá mạnh vol khá, nhưng vẫn trên ma20, vẫn cần theo dõi thêm</t>
  </si>
  <si>
    <t>lên lại được ma20</t>
  </si>
  <si>
    <t>vẫn tăng trong khi thị trường điều chỉnh, khá khỏe</t>
  </si>
  <si>
    <t>-9.789</t>
  </si>
  <si>
    <t>20/10/2025</t>
  </si>
  <si>
    <t>285.540</t>
  </si>
  <si>
    <t>21/10/2025</t>
  </si>
  <si>
    <t>cây nến rút chân, khá tốt</t>
  </si>
  <si>
    <t>284.451</t>
  </si>
  <si>
    <t>mua vượt ma20</t>
  </si>
  <si>
    <t>22/10/2025</t>
  </si>
  <si>
    <t>PLX</t>
  </si>
  <si>
    <t>1600</t>
  </si>
  <si>
    <t>MIG</t>
  </si>
  <si>
    <t>3000</t>
  </si>
  <si>
    <t>286.670</t>
  </si>
  <si>
    <t>23/10/2025</t>
  </si>
  <si>
    <t>VHM</t>
  </si>
  <si>
    <t>285.095</t>
  </si>
  <si>
    <t>24/10/2025</t>
  </si>
  <si>
    <t>1400</t>
  </si>
  <si>
    <t>284.743</t>
  </si>
  <si>
    <t>-28.443</t>
  </si>
  <si>
    <t>4 cây dưới ma20</t>
  </si>
  <si>
    <t>lên lại ma20 nhưng ko lên quá xa</t>
  </si>
  <si>
    <t>vượt ma20, macd cắt lên trên đường tín hiệu</t>
  </si>
  <si>
    <t>27/10/2025</t>
  </si>
  <si>
    <t>vẫn ổn, macd sắp lên tới 0</t>
  </si>
  <si>
    <t>mất ma20 1 cây, mai ko lên được thì phải cắt</t>
  </si>
  <si>
    <t>275.986</t>
  </si>
  <si>
    <t>104</t>
  </si>
  <si>
    <t>28/10/2025</t>
  </si>
  <si>
    <t>ACV</t>
  </si>
  <si>
    <t>vượt ma20, macd cắt đường tín hiệu</t>
  </si>
  <si>
    <t>275.740</t>
  </si>
  <si>
    <t>29/10/2025</t>
  </si>
  <si>
    <t>3900</t>
  </si>
  <si>
    <t xml:space="preserve">break nền </t>
  </si>
  <si>
    <t>27/10/12025</t>
  </si>
  <si>
    <t>279.559</t>
  </si>
  <si>
    <t>30/10/2025</t>
  </si>
  <si>
    <t>281.510</t>
  </si>
  <si>
    <t>31/10/2025</t>
  </si>
  <si>
    <t>break khỏi vùng tích lũy</t>
  </si>
  <si>
    <t>279.521</t>
  </si>
  <si>
    <t>-5.222</t>
  </si>
  <si>
    <t>thủng ma20 1 cây, mai ko lên được thì cắt</t>
  </si>
  <si>
    <t>3/11/2025</t>
  </si>
  <si>
    <t>giảm cây khá xấu, vol trung bình, mai mà đi quá nửa cây trần thì bán</t>
  </si>
  <si>
    <t>mất ma20 1 cây, mai mất tiếp thì cắt</t>
  </si>
  <si>
    <t>mua vượt ma20, vượt chéo, macd cắt lên trên</t>
  </si>
  <si>
    <t>278.786</t>
  </si>
  <si>
    <t>4/11/2025</t>
  </si>
  <si>
    <t>ACB</t>
  </si>
  <si>
    <t>273.9</t>
  </si>
  <si>
    <t>bị rũ rớt mất hàng khi giá lên lại ma20 không mua lại và nó tăng mạnh</t>
  </si>
  <si>
    <t>5/11/2025</t>
  </si>
  <si>
    <t>2700</t>
  </si>
  <si>
    <t>vượt chéo, vượt ma20, macd cắt lên trên</t>
  </si>
  <si>
    <t>271.414</t>
  </si>
  <si>
    <t>6/11/2025</t>
  </si>
  <si>
    <t>700</t>
  </si>
  <si>
    <t>vượt ma20, 2 cây tích lũy ok, macd cắt lên trên đường tín hiệu</t>
  </si>
  <si>
    <t>269.323</t>
  </si>
  <si>
    <t>vẫn trên được ma20</t>
  </si>
  <si>
    <t>7/11/2025</t>
  </si>
  <si>
    <t>259.089</t>
  </si>
  <si>
    <t>-20.4</t>
  </si>
  <si>
    <t>10/11/2025</t>
  </si>
  <si>
    <t>1900</t>
  </si>
  <si>
    <t>251.883</t>
  </si>
  <si>
    <t>11/11/2025</t>
  </si>
  <si>
    <t>253.852</t>
  </si>
  <si>
    <t>12/11/2025</t>
  </si>
  <si>
    <t>259.590</t>
  </si>
  <si>
    <t>13/11/2025</t>
  </si>
  <si>
    <t>18.8, 21.5</t>
  </si>
  <si>
    <t>2 cây trên ma20</t>
  </si>
  <si>
    <t>268.325</t>
  </si>
  <si>
    <t>14/11/2025</t>
  </si>
  <si>
    <t>266.467</t>
  </si>
  <si>
    <t>7.378</t>
  </si>
  <si>
    <t>17/11/2025</t>
  </si>
  <si>
    <t>giá vượt ma20, macd cắt đường tín hiệu</t>
  </si>
  <si>
    <t>4700</t>
  </si>
  <si>
    <t>270.946</t>
  </si>
  <si>
    <t>18/11/2025</t>
  </si>
  <si>
    <t>36.3, 39.1</t>
  </si>
  <si>
    <t>267.941</t>
  </si>
  <si>
    <t>19/11/2025</t>
  </si>
  <si>
    <t>264.316</t>
  </si>
  <si>
    <t>20/11/2025</t>
  </si>
  <si>
    <t>262.271</t>
  </si>
  <si>
    <t>21/11/2025</t>
  </si>
  <si>
    <t>258.477</t>
  </si>
  <si>
    <t>-8</t>
  </si>
  <si>
    <t>mất ma20 1 cây, cuối phiên mất tiếp thì bán</t>
  </si>
  <si>
    <t>24/11/2025</t>
  </si>
  <si>
    <t>3200</t>
  </si>
  <si>
    <t>mất ma20 2 cây, mai không lên được phải cắt</t>
  </si>
  <si>
    <t>256.201</t>
  </si>
  <si>
    <t>25/11/2025</t>
  </si>
  <si>
    <t>26/11/2025</t>
  </si>
  <si>
    <t>255.804</t>
  </si>
  <si>
    <t>2 đáy, vượt đỉnh trung tâm, vượt ma20, macd cắt lên</t>
  </si>
  <si>
    <t>đang khỏe hơn thị trường, mua ở biên dưới tích lũy</t>
  </si>
  <si>
    <t>256.413</t>
  </si>
  <si>
    <t>27/11/2025</t>
  </si>
  <si>
    <t>1 cây mất ma20</t>
  </si>
  <si>
    <t>28/11/2025</t>
  </si>
  <si>
    <t>251.849</t>
  </si>
  <si>
    <t>-6.628</t>
  </si>
  <si>
    <t>1/12/2025</t>
  </si>
  <si>
    <t>break đỉnh vol lớn</t>
  </si>
  <si>
    <t>250.120</t>
  </si>
  <si>
    <t>2/12/2025</t>
  </si>
  <si>
    <t>254.071</t>
  </si>
  <si>
    <t>3/12/2025</t>
  </si>
  <si>
    <t>260.394</t>
  </si>
  <si>
    <t>4/12/2025</t>
  </si>
  <si>
    <t>200</t>
  </si>
  <si>
    <t>giá vượt ma20, macd 2 đáy phân kì dương, macd căt lên trên</t>
  </si>
  <si>
    <t>260.254</t>
  </si>
  <si>
    <t>5/12/2025</t>
  </si>
  <si>
    <t>253.788</t>
  </si>
  <si>
    <t>1.939</t>
  </si>
  <si>
    <t>mất ma20 1 cây, nay mất bán</t>
  </si>
  <si>
    <t>8/12/2025</t>
  </si>
  <si>
    <t>gía tăng khi tt giảm, vượt chéo, vượt ma200, macd cắt lên</t>
  </si>
  <si>
    <t>254.272</t>
  </si>
  <si>
    <t>tích lũy tốt trên ma20</t>
  </si>
  <si>
    <t>thủng ma20 1 cây, thủng luôn cả nền tích lũy</t>
  </si>
  <si>
    <t>9/12/2025</t>
  </si>
  <si>
    <t>254</t>
  </si>
  <si>
    <t>mất ma20 3 cây mất cả ma200</t>
  </si>
  <si>
    <t>93, -5</t>
  </si>
  <si>
    <t>10/12/2025</t>
  </si>
  <si>
    <t>giảm nửa cây tăng hôm trước</t>
  </si>
  <si>
    <t>251.467</t>
  </si>
  <si>
    <t>mất ma20 4 cây</t>
  </si>
  <si>
    <t>11/12/2025</t>
  </si>
  <si>
    <t>mua pull back ma20</t>
  </si>
  <si>
    <t>12/12/2025</t>
  </si>
  <si>
    <t>PAN</t>
  </si>
  <si>
    <t>3600</t>
  </si>
  <si>
    <t>vượt ma20, vượt ma200</t>
  </si>
  <si>
    <t>231.622</t>
  </si>
  <si>
    <t>-22.166</t>
  </si>
  <si>
    <t>15/12/2025</t>
  </si>
  <si>
    <t>230.299</t>
  </si>
  <si>
    <t>16/12/2025</t>
  </si>
  <si>
    <t>236.186</t>
  </si>
  <si>
    <t>17/12/2025</t>
  </si>
  <si>
    <t>235.689</t>
  </si>
  <si>
    <t>18/12/2025</t>
  </si>
  <si>
    <t>236.235</t>
  </si>
  <si>
    <t>19/12/2025</t>
  </si>
  <si>
    <t>vượt đỉnh</t>
  </si>
  <si>
    <t>234.428</t>
  </si>
  <si>
    <t>2.8</t>
  </si>
  <si>
    <t>đóng nến được trên đỉnh break</t>
  </si>
  <si>
    <t>22/12/2025</t>
  </si>
  <si>
    <t>237.851</t>
  </si>
  <si>
    <t>23/12/2025</t>
  </si>
  <si>
    <t>sau cây vượt m20, vượt chéo 2 cây tích lũy tốt vol nhỏ</t>
  </si>
  <si>
    <t>238.244</t>
  </si>
  <si>
    <t>24/12/2025</t>
  </si>
  <si>
    <t>237.058</t>
  </si>
  <si>
    <t>25/12/2025</t>
  </si>
  <si>
    <t>232.080</t>
  </si>
  <si>
    <t>26/12/2025</t>
  </si>
  <si>
    <t>227.579</t>
  </si>
  <si>
    <t>-6.849</t>
  </si>
  <si>
    <t>29/12/2025</t>
  </si>
  <si>
    <t>227.869</t>
  </si>
  <si>
    <t>30/12/2025</t>
  </si>
  <si>
    <t>225.403</t>
  </si>
  <si>
    <t>+ Hết năm 2025 : 223.475</t>
  </si>
  <si>
    <t>+ Kết quả:  -2.58%</t>
  </si>
  <si>
    <t>31/12/2025</t>
  </si>
  <si>
    <t>223.475</t>
  </si>
  <si>
    <t>-4.104</t>
  </si>
  <si>
    <t>5/1/2026</t>
  </si>
  <si>
    <t>Vượt ma20, vượt vùng tích luỹ, macd cắt lên trên đường tín hiệu</t>
  </si>
  <si>
    <t>1700</t>
  </si>
  <si>
    <t>219.207</t>
  </si>
  <si>
    <t>tiếp tục dưới ma20</t>
  </si>
  <si>
    <t>9.95</t>
  </si>
  <si>
    <t>31.3</t>
  </si>
  <si>
    <t>6/1/2026</t>
  </si>
  <si>
    <t>vượt ma20 macd cắt lên trên đường tín hiệu, phía trước có eo mây</t>
  </si>
  <si>
    <t>222.425</t>
  </si>
  <si>
    <t>VCB</t>
  </si>
  <si>
    <t>giá vượt  ma20, vượt vùng tích luỹ quanh ma20</t>
  </si>
  <si>
    <t>7/1/2026</t>
  </si>
  <si>
    <t>228.376</t>
  </si>
  <si>
    <t>hồi yếu ma50 cắm xuống dưới, mai hồi lên ma20 bán</t>
  </si>
  <si>
    <t>8/1/2026</t>
  </si>
  <si>
    <t>226.494</t>
  </si>
  <si>
    <t>9/1/2026</t>
  </si>
  <si>
    <t>243.118</t>
  </si>
  <si>
    <t>19.643</t>
  </si>
  <si>
    <t>mất ma20 1 cây, mai mất tiếp bán</t>
  </si>
  <si>
    <t>- Năm 2026:</t>
  </si>
  <si>
    <t>12/1/2026</t>
  </si>
  <si>
    <t>break nhưng không thành công, theo dõi thêm, hơi yếu so với thị trường</t>
  </si>
  <si>
    <t>đu trần, giá đóng trần trên kháng cự</t>
  </si>
  <si>
    <t>252.517</t>
  </si>
  <si>
    <t>13/1/2026</t>
  </si>
  <si>
    <t>13/1/2025</t>
  </si>
  <si>
    <t>đu trần, vượt ma20</t>
  </si>
  <si>
    <t>251.268</t>
  </si>
  <si>
    <t>14/1/2026</t>
  </si>
  <si>
    <t>- Ngọc: 6 + 4 + 3 + 2</t>
  </si>
  <si>
    <t>15/1/2025</t>
  </si>
  <si>
    <t>cổ phiếu khỏe nhất nhóm chứng khoán, tự doanh trụ đang tăng mạnh</t>
  </si>
  <si>
    <t>15/1/2026</t>
  </si>
  <si>
    <t>266.626</t>
  </si>
  <si>
    <t>nạp thêm 10 tr</t>
  </si>
  <si>
    <t>vẫn dưới ma20, sắp đi qua mây</t>
  </si>
  <si>
    <t>253.785</t>
  </si>
  <si>
    <t>16/1/2026</t>
  </si>
  <si>
    <t>VSC</t>
  </si>
  <si>
    <t>256.090</t>
  </si>
  <si>
    <t>12.972</t>
  </si>
  <si>
    <t>19/1/2026</t>
  </si>
  <si>
    <t>255.013</t>
  </si>
  <si>
    <t>20/1/2026</t>
  </si>
  <si>
    <t>253.754</t>
  </si>
  <si>
    <t>21/1/2026</t>
  </si>
  <si>
    <t>243.274</t>
  </si>
  <si>
    <t>22/1/2026</t>
  </si>
  <si>
    <t>237.972</t>
  </si>
  <si>
    <t>đừng huỷ lệnh đk trong phiên nữa quá nhiều lần rồi</t>
  </si>
  <si>
    <t>- Trăm: 10 + 1 + 2</t>
  </si>
  <si>
    <t>23/1/2026</t>
  </si>
  <si>
    <t>232.231</t>
  </si>
  <si>
    <t>-23.859</t>
  </si>
  <si>
    <t>26/1/2026</t>
  </si>
  <si>
    <t>228.899</t>
  </si>
  <si>
    <t>Mua fomo bất chấp gần kháng cự, sai lầm, ko đặt lệnh cắt lỗ mặc định khi hàng về</t>
  </si>
  <si>
    <t>không đặt lệnh cắt lỗ mặc định khi hàng về</t>
  </si>
  <si>
    <t>27/1/2026</t>
  </si>
  <si>
    <t>234.498</t>
  </si>
  <si>
    <t>28/1/2026</t>
  </si>
  <si>
    <t>mua vượt đỉnh</t>
  </si>
  <si>
    <t>227.371</t>
  </si>
  <si>
    <t>mất ma20 1 cây, mai không lên được là bán</t>
  </si>
  <si>
    <t>KSB</t>
  </si>
  <si>
    <t>29/1/2026</t>
  </si>
  <si>
    <t>232.681</t>
  </si>
  <si>
    <t>giá cắt lên trên ma20, sắp tới đoạn mây mỏng rồi</t>
  </si>
  <si>
    <t>MWG</t>
  </si>
  <si>
    <t>30/1/2026</t>
  </si>
  <si>
    <t>237.789</t>
  </si>
  <si>
    <t>5.558</t>
  </si>
  <si>
    <t>Vượt ma20, vượt vùng tích luỹ quanh ma20, macd cắt lên trên đường tín hiệu</t>
  </si>
  <si>
    <t>2/2/2026</t>
  </si>
  <si>
    <t>244.534</t>
  </si>
  <si>
    <t>3/2/2026</t>
  </si>
  <si>
    <t>253.162</t>
  </si>
  <si>
    <t>4/2/2026</t>
  </si>
  <si>
    <t>238.122</t>
  </si>
  <si>
    <t>100</t>
  </si>
  <si>
    <t>giá về hỗ trợ đỉnh break, ma10</t>
  </si>
  <si>
    <t>6/2/2026</t>
  </si>
  <si>
    <t>223.665</t>
  </si>
  <si>
    <t>-14.124</t>
  </si>
  <si>
    <t>mất ma20 1 cây, mai không lên được thì bán</t>
  </si>
  <si>
    <t>không tuân thủ kỉ luật đề ra, mất ma20 2 cây không cắt, thủng đáy không cắt, không đặt lệnh giảm từ đỉnh quá 5% thì bán</t>
  </si>
  <si>
    <t>9/2/2026</t>
  </si>
  <si>
    <t>211.479</t>
  </si>
  <si>
    <t>10/2/2026</t>
  </si>
  <si>
    <t>211.418</t>
  </si>
  <si>
    <t>11/2/2026</t>
  </si>
  <si>
    <t>221.553</t>
  </si>
  <si>
    <t>12/2/2026</t>
  </si>
  <si>
    <t>220.942</t>
  </si>
  <si>
    <t>13/2/2026</t>
  </si>
  <si>
    <t>vượt vùng biên vùng tích luỹ</t>
  </si>
  <si>
    <t>223.010</t>
  </si>
  <si>
    <t>-0.655</t>
  </si>
  <si>
    <t>23/2/2026</t>
  </si>
  <si>
    <t>233.165</t>
  </si>
  <si>
    <t>24/2/2026</t>
  </si>
  <si>
    <t>229.368</t>
  </si>
  <si>
    <t>từ từ bò lên</t>
  </si>
  <si>
    <t>25/2/2026</t>
  </si>
  <si>
    <t>+ Bán Khi gặp kháng cự(Vùng kháng cự là vùng đỉnh cũ hoặc vùng mà cổ phiếu tích lũy lâu ở đó và bị thủng, các đường MA cũng là kháng cự, MA200 là kháng cự mạnh), khi cổ phiếu lên gần tới vùng kháng cự</t>
  </si>
  <si>
    <t>+ Bán 1 nửa khi cổ phiếu mất MA20 và bán hết cây test lại không lên lại được ma20</t>
  </si>
  <si>
    <t>+ Bán khi lỗ 5%, khi cổ phiếu về cài sẵn lệnh dừng cắt lỗ mặc định 5%</t>
  </si>
  <si>
    <t>26/2/2026</t>
  </si>
  <si>
    <t>3300</t>
  </si>
  <si>
    <t>118 + 9 + 6 + 1 + 20 + 15 + 10 + 1 + 10 + 6  + 4 + 15  + 10 + 25  = 250</t>
  </si>
  <si>
    <t>+ Tổng vốn: 223.475 + 10 + 25 = 258.475</t>
  </si>
  <si>
    <t>nạp thêm 25tr</t>
  </si>
  <si>
    <t>0.665</t>
  </si>
  <si>
    <t>254.433</t>
  </si>
  <si>
    <t>256.784</t>
  </si>
  <si>
    <t>27/2/2026</t>
  </si>
  <si>
    <t>253.760</t>
  </si>
  <si>
    <t>5.685</t>
  </si>
  <si>
    <t>2/3/2026</t>
  </si>
  <si>
    <t>242.365</t>
  </si>
  <si>
    <t>3/3/2026</t>
  </si>
  <si>
    <t>236.987</t>
  </si>
  <si>
    <t>4/3/2026</t>
  </si>
  <si>
    <t>239.747</t>
  </si>
  <si>
    <t>5/3/2026</t>
  </si>
  <si>
    <t>238.845</t>
  </si>
  <si>
    <t>6/3/2026</t>
  </si>
  <si>
    <t>226.464</t>
  </si>
  <si>
    <t>-27.296</t>
  </si>
  <si>
    <t>10/3/2026</t>
  </si>
  <si>
    <t>197</t>
  </si>
  <si>
    <t>9/3/2026</t>
  </si>
  <si>
    <t>205.1</t>
  </si>
  <si>
    <t>tiếp tục giảm quá yếu so với thị trường</t>
  </si>
  <si>
    <t>11/3/2026</t>
  </si>
  <si>
    <t>214.823</t>
  </si>
  <si>
    <t>12/3/2026</t>
  </si>
  <si>
    <t>208.402</t>
  </si>
  <si>
    <t>13/3/2026</t>
  </si>
  <si>
    <t>203.397</t>
  </si>
  <si>
    <t>-23.067</t>
  </si>
  <si>
    <t>16/3/2026</t>
  </si>
  <si>
    <t>202.549</t>
  </si>
  <si>
    <t>17/3/2026</t>
  </si>
  <si>
    <t>209.871</t>
  </si>
  <si>
    <t>vẫn giữ được ma200</t>
  </si>
  <si>
    <t>18/3/2026</t>
  </si>
  <si>
    <t>207.208</t>
  </si>
  <si>
    <t>19/3/2026</t>
  </si>
  <si>
    <t>201.260</t>
  </si>
  <si>
    <t>20/3/2026</t>
  </si>
  <si>
    <t>192.533</t>
  </si>
  <si>
    <t>-10.864</t>
  </si>
  <si>
    <t>23/3/2026</t>
  </si>
  <si>
    <t>179.494</t>
  </si>
  <si>
    <t>24/3/2026</t>
  </si>
  <si>
    <t>184.647</t>
  </si>
  <si>
    <t>25/3/2026</t>
  </si>
  <si>
    <t>189.882</t>
  </si>
  <si>
    <t>26/3/2026</t>
  </si>
  <si>
    <t>192.015</t>
  </si>
  <si>
    <t>27/3/2026</t>
  </si>
  <si>
    <t>198.723</t>
  </si>
  <si>
    <t>6.19</t>
  </si>
  <si>
    <t>30/3/2026</t>
  </si>
  <si>
    <t>vượt ma20, 2 cây tích luỹ xanh, macd cắt lên trên, ma10 cắt ma20</t>
  </si>
  <si>
    <t>196.169</t>
  </si>
  <si>
    <t>31/3/2026</t>
  </si>
  <si>
    <t>SHS</t>
  </si>
  <si>
    <t>TCB</t>
  </si>
  <si>
    <t>CTS</t>
  </si>
  <si>
    <t>199.881</t>
  </si>
  <si>
    <t>1/4/2026</t>
  </si>
  <si>
    <t>206.999</t>
  </si>
  <si>
    <t>2/4/2026</t>
  </si>
  <si>
    <t>202.403</t>
  </si>
  <si>
    <t>3/4/2026</t>
  </si>
  <si>
    <t>200.806</t>
  </si>
  <si>
    <t>2.083</t>
  </si>
  <si>
    <t>201.993</t>
  </si>
  <si>
    <t>204.318</t>
  </si>
  <si>
    <t>6/4/2026</t>
  </si>
  <si>
    <t>7/4/2026</t>
  </si>
  <si>
    <t>8/4/2026</t>
  </si>
  <si>
    <t>300</t>
  </si>
  <si>
    <t>vượt ma20, vượt qua vùng tích luỹ, nâng hạng chứng khoán</t>
  </si>
  <si>
    <t>222.201</t>
  </si>
  <si>
    <t>+ Đặt lệnh điều kiện bán 1 nửa nếu giá mất MA20</t>
  </si>
  <si>
    <t>vượt ma20 lần 2, ma10 cắt ma20, sắp tới có eo mây</t>
  </si>
  <si>
    <t>9/4/2026</t>
  </si>
  <si>
    <t>219.781</t>
  </si>
  <si>
    <t>10/4/2026</t>
  </si>
  <si>
    <t>221.597</t>
  </si>
  <si>
    <t>20.791</t>
  </si>
  <si>
    <t>13/4/2026</t>
  </si>
  <si>
    <t>225.027</t>
  </si>
  <si>
    <t>vẫn trên ma20 nhưng sắp vào vùng mây đỏ dầy</t>
  </si>
  <si>
    <t>28.3, 29</t>
  </si>
  <si>
    <t>14/4/2026</t>
  </si>
  <si>
    <t>224.657</t>
  </si>
  <si>
    <t>57</t>
  </si>
  <si>
    <t>15/4/2026</t>
  </si>
  <si>
    <t>226.947</t>
  </si>
  <si>
    <t>tăng tốt vol khá, sắp đến kháng cự điểm bán</t>
  </si>
  <si>
    <t>giảm nhẹ vẫn tích lũy được trên ma20</t>
  </si>
  <si>
    <t>giảm giá vẫn trên ma20</t>
  </si>
  <si>
    <t xml:space="preserve">giảm vol khá </t>
  </si>
  <si>
    <t xml:space="preserve"> giá vẫn trên ma20, macd sắp lên tới 0</t>
  </si>
  <si>
    <t>16/4/2026</t>
  </si>
  <si>
    <t>228.237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</si>
</sst>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4"/>
      <color theme="1"/>
      <name val="Times New Roman"/>
      <family val="1"/>
    </font>
    <font>
      <sz val="16"/>
      <color theme="1"/>
      <name val="Times New Roman"/>
      <family val="1"/>
    </font>
    <font>
      <b/>
      <sz val="12"/>
      <color theme="1"/>
      <name val="Calibri"/>
      <family val="2"/>
      <scheme val="minor"/>
    </font>
    <font>
      <sz val="12"/>
      <color theme="1"/>
      <name val="Calibri"/>
      <family val="2"/>
      <scheme val="minor"/>
    </font>
    <font>
      <sz val="14"/>
      <color rgb="FFFF0000"/>
      <name val="Times New Roman"/>
      <family val="1"/>
    </font>
    <font>
      <b/>
      <sz val="11"/>
      <color theme="1"/>
      <name val="Calibri"/>
      <family val="2"/>
      <scheme val="minor"/>
    </font>
    <font>
      <b/>
      <sz val="14"/>
      <color theme="1"/>
      <name val="Calibri"/>
      <family val="2"/>
      <scheme val="minor"/>
    </font>
    <font>
      <b/>
      <sz val="16"/>
      <color theme="1"/>
      <name val="Times New Roman"/>
      <family val="1"/>
    </font>
    <font>
      <b/>
      <sz val="16"/>
      <color theme="1"/>
      <name val="Calibri"/>
      <family val="2"/>
      <scheme val="minor"/>
    </font>
    <font>
      <sz val="14"/>
      <color theme="1"/>
      <name val="Calibri"/>
      <family val="2"/>
      <scheme val="minor"/>
    </font>
    <font>
      <sz val="14"/>
      <name val="Times New Roman"/>
      <family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cellStyleXfs>
  <cellXfs count="47">
    <xf numFmtId="0" fontId="0" fillId="0" borderId="0" xfId="0"/>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3" borderId="0" xfId="0" applyFont="1" applyFill="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center" vertical="center"/>
    </xf>
    <xf numFmtId="0" fontId="1" fillId="3" borderId="0" xfId="0" applyFont="1" applyFill="1" applyAlignment="1">
      <alignment horizontal="center" vertical="center"/>
    </xf>
    <xf numFmtId="0" fontId="1" fillId="2" borderId="0" xfId="0" applyFont="1" applyFill="1" applyAlignment="1">
      <alignment horizontal="center" vertical="center"/>
    </xf>
    <xf numFmtId="0" fontId="4" fillId="0" borderId="0" xfId="1" applyAlignment="1">
      <alignment horizontal="center" vertical="center"/>
    </xf>
    <xf numFmtId="0" fontId="5" fillId="2" borderId="0" xfId="0" applyFont="1" applyFill="1" applyAlignment="1">
      <alignment horizontal="center" vertical="center"/>
    </xf>
    <xf numFmtId="0" fontId="5" fillId="2" borderId="0" xfId="0" applyFont="1" applyFill="1" applyAlignment="1">
      <alignment horizontal="center" vertical="center" wrapText="1"/>
    </xf>
    <xf numFmtId="0" fontId="4" fillId="0" borderId="0" xfId="1" applyAlignment="1">
      <alignment horizontal="center" vertical="center" wrapText="1"/>
    </xf>
    <xf numFmtId="14" fontId="1" fillId="2" borderId="0" xfId="0" applyNumberFormat="1" applyFont="1" applyFill="1" applyAlignment="1">
      <alignment horizontal="center" vertical="center"/>
    </xf>
    <xf numFmtId="14" fontId="5" fillId="2" borderId="0" xfId="0" applyNumberFormat="1" applyFont="1" applyFill="1" applyAlignment="1">
      <alignment horizontal="center" vertical="center"/>
    </xf>
    <xf numFmtId="49" fontId="8" fillId="0" borderId="0" xfId="0" applyNumberFormat="1" applyFont="1"/>
    <xf numFmtId="49" fontId="9" fillId="0" borderId="0" xfId="0" applyNumberFormat="1" applyFont="1"/>
    <xf numFmtId="49" fontId="9" fillId="2" borderId="0" xfId="0" applyNumberFormat="1" applyFont="1" applyFill="1"/>
    <xf numFmtId="49" fontId="4" fillId="0" borderId="0" xfId="0" applyNumberFormat="1" applyFont="1"/>
    <xf numFmtId="49" fontId="3" fillId="0" borderId="0" xfId="0" applyNumberFormat="1" applyFont="1"/>
    <xf numFmtId="49" fontId="4" fillId="2" borderId="0" xfId="0" applyNumberFormat="1" applyFont="1" applyFill="1"/>
    <xf numFmtId="49" fontId="0" fillId="0" borderId="0" xfId="0" applyNumberFormat="1"/>
    <xf numFmtId="49" fontId="6" fillId="0" borderId="0" xfId="0" applyNumberFormat="1" applyFont="1"/>
    <xf numFmtId="49" fontId="7" fillId="2" borderId="1" xfId="0" applyNumberFormat="1" applyFont="1" applyFill="1" applyBorder="1" applyAlignment="1">
      <alignment horizontal="center"/>
    </xf>
    <xf numFmtId="49" fontId="10" fillId="0" borderId="0" xfId="0" applyNumberFormat="1" applyFont="1" applyAlignment="1">
      <alignment horizontal="center"/>
    </xf>
    <xf numFmtId="49" fontId="10" fillId="0" borderId="1" xfId="0" applyNumberFormat="1" applyFont="1" applyBorder="1" applyAlignment="1">
      <alignment horizontal="center"/>
    </xf>
    <xf numFmtId="49" fontId="3" fillId="2" borderId="0" xfId="0" applyNumberFormat="1" applyFont="1" applyFill="1"/>
    <xf numFmtId="49" fontId="10" fillId="2" borderId="1" xfId="0" applyNumberFormat="1" applyFont="1" applyFill="1" applyBorder="1" applyAlignment="1">
      <alignment horizontal="center"/>
    </xf>
    <xf numFmtId="49" fontId="1" fillId="3" borderId="0" xfId="0" applyNumberFormat="1" applyFont="1" applyFill="1" applyAlignment="1">
      <alignment horizontal="center" vertical="center"/>
    </xf>
    <xf numFmtId="49" fontId="1" fillId="2" borderId="0" xfId="0" applyNumberFormat="1" applyFont="1" applyFill="1" applyAlignment="1">
      <alignment horizontal="center" vertical="center"/>
    </xf>
    <xf numFmtId="49" fontId="5" fillId="2" borderId="0" xfId="0" applyNumberFormat="1" applyFont="1" applyFill="1" applyAlignment="1">
      <alignment horizontal="center" vertical="center"/>
    </xf>
    <xf numFmtId="49" fontId="4" fillId="0" borderId="0" xfId="1" applyNumberFormat="1" applyAlignment="1">
      <alignment horizontal="center" vertical="center"/>
    </xf>
    <xf numFmtId="49" fontId="1" fillId="0" borderId="0" xfId="0" applyNumberFormat="1" applyFont="1" applyAlignment="1">
      <alignment horizontal="center" vertical="center"/>
    </xf>
    <xf numFmtId="49" fontId="10" fillId="2" borderId="0" xfId="0" applyNumberFormat="1" applyFont="1" applyFill="1" applyAlignment="1">
      <alignment horizontal="center"/>
    </xf>
    <xf numFmtId="49" fontId="1" fillId="3" borderId="0" xfId="0" applyNumberFormat="1" applyFont="1" applyFill="1" applyAlignment="1">
      <alignment horizontal="center" vertical="center" wrapText="1"/>
    </xf>
    <xf numFmtId="49" fontId="5" fillId="2" borderId="0" xfId="0" applyNumberFormat="1" applyFont="1" applyFill="1" applyAlignment="1">
      <alignment horizontal="center" vertical="center" wrapText="1"/>
    </xf>
    <xf numFmtId="49" fontId="1" fillId="2" borderId="0" xfId="0" applyNumberFormat="1" applyFont="1" applyFill="1" applyAlignment="1">
      <alignment horizontal="center" vertical="center" wrapText="1"/>
    </xf>
    <xf numFmtId="49" fontId="4" fillId="0" borderId="0" xfId="1" applyNumberFormat="1" applyAlignment="1">
      <alignment horizontal="center" vertical="center" wrapText="1"/>
    </xf>
    <xf numFmtId="49" fontId="1" fillId="0" borderId="0" xfId="0" applyNumberFormat="1" applyFont="1" applyAlignment="1">
      <alignment horizontal="center" vertical="center" wrapText="1"/>
    </xf>
    <xf numFmtId="49" fontId="0" fillId="2" borderId="0" xfId="0" applyNumberFormat="1" applyFill="1"/>
    <xf numFmtId="0" fontId="11" fillId="2" borderId="0" xfId="0" applyFont="1" applyFill="1" applyAlignment="1">
      <alignment horizontal="center" vertical="center"/>
    </xf>
    <xf numFmtId="49" fontId="11" fillId="2" borderId="0" xfId="0" applyNumberFormat="1" applyFont="1" applyFill="1" applyAlignment="1">
      <alignment horizontal="center" vertical="center"/>
    </xf>
    <xf numFmtId="14" fontId="11" fillId="2" borderId="0" xfId="0" applyNumberFormat="1" applyFont="1" applyFill="1" applyAlignment="1">
      <alignment horizontal="center" vertical="center"/>
    </xf>
    <xf numFmtId="0" fontId="11" fillId="2" borderId="0" xfId="0" applyFont="1" applyFill="1" applyAlignment="1">
      <alignment horizontal="center" vertical="center" wrapText="1"/>
    </xf>
    <xf numFmtId="49" fontId="11" fillId="2" borderId="0" xfId="0" applyNumberFormat="1" applyFont="1" applyFill="1" applyAlignment="1">
      <alignment horizontal="center" vertical="center" wrapText="1"/>
    </xf>
  </cellXfs>
  <cellStyles count="2">
    <cellStyle name="Normal" xfId="0" builtinId="0"/>
    <cellStyle name="Normal 2" xfId="1" xr:uid="{5C9CF50F-D706-4979-BFCB-F4F850A0B98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0E131-6B31-43E1-9EA0-B18F07BCAF8B}">
  <dimension ref="A1:M19"/>
  <sheetViews>
    <sheetView workbookViewId="0">
      <selection activeCell="A17" sqref="A17"/>
    </sheetView>
  </sheetViews>
  <sheetFormatPr defaultColWidth="8.88671875" defaultRowHeight="14.4" x14ac:dyDescent="0.3"/>
  <cols>
    <col min="1" max="5" width="8.88671875" style="23"/>
    <col min="6" max="6" width="11.5546875" style="23" customWidth="1"/>
    <col min="7" max="16384" width="8.88671875" style="23"/>
  </cols>
  <sheetData>
    <row r="1" spans="1:13" s="24" customFormat="1" ht="15.6" x14ac:dyDescent="0.3">
      <c r="A1" s="28" t="s">
        <v>368</v>
      </c>
      <c r="B1" s="28"/>
      <c r="C1" s="28" t="s">
        <v>131</v>
      </c>
      <c r="D1" s="28"/>
      <c r="E1" s="28"/>
      <c r="F1" s="28"/>
      <c r="L1" s="28" t="s">
        <v>391</v>
      </c>
      <c r="M1" s="28"/>
    </row>
    <row r="2" spans="1:13" ht="15.6" x14ac:dyDescent="0.3">
      <c r="A2" s="28" t="s">
        <v>369</v>
      </c>
      <c r="B2" s="22"/>
      <c r="C2" s="22"/>
      <c r="D2" s="22"/>
      <c r="E2" s="22"/>
      <c r="F2" s="22"/>
      <c r="L2" s="28" t="s">
        <v>392</v>
      </c>
      <c r="M2" s="28"/>
    </row>
    <row r="3" spans="1:13" ht="15.6" x14ac:dyDescent="0.3">
      <c r="A3" s="28" t="s">
        <v>370</v>
      </c>
      <c r="B3" s="22"/>
      <c r="C3" s="22"/>
      <c r="D3" s="22"/>
      <c r="E3" s="22"/>
      <c r="F3" s="22"/>
      <c r="L3" s="28" t="s">
        <v>1023</v>
      </c>
      <c r="M3" s="28"/>
    </row>
    <row r="4" spans="1:13" ht="15.6" x14ac:dyDescent="0.3">
      <c r="A4" s="22"/>
      <c r="B4" s="28" t="s">
        <v>1103</v>
      </c>
      <c r="C4" s="22"/>
      <c r="D4" s="22"/>
      <c r="E4" s="22"/>
      <c r="F4" s="22"/>
      <c r="L4" s="28" t="s">
        <v>393</v>
      </c>
      <c r="M4" s="28"/>
    </row>
    <row r="5" spans="1:13" ht="15.6" x14ac:dyDescent="0.3">
      <c r="A5" s="22"/>
      <c r="B5" s="22"/>
      <c r="C5" s="22"/>
      <c r="D5" s="22"/>
      <c r="E5" s="22"/>
      <c r="F5" s="22"/>
      <c r="L5" s="28" t="s">
        <v>1044</v>
      </c>
      <c r="M5" s="28"/>
    </row>
    <row r="6" spans="1:13" ht="15.6" x14ac:dyDescent="0.3">
      <c r="A6" s="28" t="s">
        <v>367</v>
      </c>
      <c r="B6" s="22"/>
      <c r="C6" s="22"/>
      <c r="D6" s="22"/>
      <c r="E6" s="22"/>
      <c r="F6" s="22"/>
    </row>
    <row r="7" spans="1:13" ht="15.6" x14ac:dyDescent="0.3">
      <c r="A7" s="22"/>
      <c r="B7" s="28" t="s">
        <v>372</v>
      </c>
      <c r="C7" s="22"/>
      <c r="D7" s="22"/>
      <c r="E7" s="22"/>
      <c r="F7" s="22"/>
    </row>
    <row r="8" spans="1:13" ht="15.6" x14ac:dyDescent="0.3">
      <c r="A8" s="22"/>
      <c r="B8" s="28" t="s">
        <v>371</v>
      </c>
      <c r="C8" s="22"/>
      <c r="D8" s="22"/>
      <c r="E8" s="22"/>
      <c r="F8" s="22"/>
    </row>
    <row r="9" spans="1:13" ht="15.6" x14ac:dyDescent="0.3">
      <c r="A9" s="22"/>
      <c r="B9" s="28" t="s">
        <v>373</v>
      </c>
      <c r="C9" s="22"/>
      <c r="D9" s="22"/>
      <c r="E9" s="22"/>
      <c r="F9" s="22"/>
    </row>
    <row r="10" spans="1:13" ht="15.6" x14ac:dyDescent="0.3">
      <c r="A10" s="22"/>
      <c r="B10" s="22"/>
      <c r="C10" s="22"/>
      <c r="D10" s="22"/>
      <c r="E10" s="22"/>
      <c r="F10" s="22"/>
    </row>
    <row r="11" spans="1:13" ht="15.6" x14ac:dyDescent="0.3">
      <c r="A11" s="28" t="s">
        <v>374</v>
      </c>
      <c r="B11" s="22"/>
      <c r="C11" s="22"/>
      <c r="D11" s="22"/>
      <c r="E11" s="22"/>
      <c r="F11" s="22"/>
    </row>
    <row r="12" spans="1:13" ht="15.6" x14ac:dyDescent="0.3">
      <c r="A12" s="22"/>
      <c r="B12" s="28" t="s">
        <v>791</v>
      </c>
      <c r="C12" s="22"/>
      <c r="D12" s="22"/>
      <c r="E12" s="22"/>
      <c r="F12" s="22"/>
    </row>
    <row r="13" spans="1:13" ht="15.6" x14ac:dyDescent="0.3">
      <c r="A13" s="22"/>
      <c r="B13" s="28" t="s">
        <v>987</v>
      </c>
      <c r="C13" s="22"/>
      <c r="D13" s="22"/>
      <c r="E13" s="22"/>
      <c r="F13" s="22"/>
    </row>
    <row r="14" spans="1:13" ht="15.6" x14ac:dyDescent="0.3">
      <c r="A14" s="22"/>
      <c r="B14" s="28" t="s">
        <v>988</v>
      </c>
      <c r="C14" s="22"/>
      <c r="D14" s="22"/>
      <c r="E14" s="22"/>
      <c r="F14" s="22"/>
    </row>
    <row r="15" spans="1:13" ht="15.6" x14ac:dyDescent="0.3">
      <c r="A15" s="22"/>
      <c r="B15" s="22"/>
      <c r="C15" s="22"/>
      <c r="D15" s="22"/>
      <c r="E15" s="22"/>
      <c r="F15" s="22"/>
    </row>
    <row r="16" spans="1:13" ht="15.6" x14ac:dyDescent="0.3">
      <c r="A16" s="28" t="s">
        <v>1013</v>
      </c>
      <c r="B16" s="22"/>
      <c r="C16" s="41"/>
      <c r="D16" s="41"/>
      <c r="E16" s="41"/>
      <c r="F16" s="41"/>
    </row>
    <row r="17" spans="1:6" ht="15.6" x14ac:dyDescent="0.3">
      <c r="A17" s="22"/>
      <c r="B17" s="28" t="s">
        <v>1104</v>
      </c>
      <c r="C17" s="41"/>
      <c r="D17" s="41"/>
      <c r="E17" s="41"/>
      <c r="F17" s="41"/>
    </row>
    <row r="18" spans="1:6" ht="15.6" x14ac:dyDescent="0.3">
      <c r="A18" s="22"/>
      <c r="B18" s="28"/>
      <c r="C18" s="41"/>
      <c r="D18" s="41"/>
      <c r="E18" s="41"/>
      <c r="F18" s="41"/>
    </row>
    <row r="19" spans="1:6" ht="15.6" x14ac:dyDescent="0.3">
      <c r="A19" s="22"/>
      <c r="B19" s="28"/>
      <c r="C19" s="41"/>
      <c r="D19" s="41"/>
      <c r="E19" s="41"/>
      <c r="F19" s="4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0FBEA-61B1-4D5E-A59E-30CA607BFEAD}">
  <dimension ref="A1:E228"/>
  <sheetViews>
    <sheetView tabSelected="1" zoomScaleNormal="100" workbookViewId="0">
      <pane ySplit="1" topLeftCell="A217" activePane="bottomLeft" state="frozen"/>
      <selection pane="bottomLeft" activeCell="B229" sqref="B229"/>
    </sheetView>
  </sheetViews>
  <sheetFormatPr defaultColWidth="8.88671875" defaultRowHeight="18" x14ac:dyDescent="0.35"/>
  <cols>
    <col min="1" max="1" width="16.44140625" style="27" bestFit="1" customWidth="1"/>
    <col min="2" max="4" width="18.109375" style="27" customWidth="1"/>
    <col min="5" max="5" width="73.6640625" style="27" customWidth="1"/>
    <col min="6" max="16384" width="8.88671875" style="26"/>
  </cols>
  <sheetData>
    <row r="1" spans="1:5" x14ac:dyDescent="0.35">
      <c r="A1" s="25" t="s">
        <v>0</v>
      </c>
      <c r="B1" s="25" t="s">
        <v>375</v>
      </c>
      <c r="C1" s="25" t="s">
        <v>402</v>
      </c>
      <c r="D1" s="25" t="s">
        <v>438</v>
      </c>
      <c r="E1" s="25" t="s">
        <v>390</v>
      </c>
    </row>
    <row r="2" spans="1:5" x14ac:dyDescent="0.35">
      <c r="A2" s="27" t="s">
        <v>376</v>
      </c>
      <c r="B2" s="27" t="s">
        <v>377</v>
      </c>
    </row>
    <row r="3" spans="1:5" x14ac:dyDescent="0.35">
      <c r="A3" s="27" t="s">
        <v>115</v>
      </c>
      <c r="B3" s="27" t="s">
        <v>378</v>
      </c>
      <c r="C3" s="27">
        <f>B3-B2</f>
        <v>5.3789999999999907</v>
      </c>
    </row>
    <row r="4" spans="1:5" x14ac:dyDescent="0.35">
      <c r="A4" s="27" t="s">
        <v>117</v>
      </c>
      <c r="B4" s="27" t="s">
        <v>379</v>
      </c>
      <c r="C4" s="27">
        <f t="shared" ref="C4:C22" si="0">B4-B3</f>
        <v>-2.5919999999999845</v>
      </c>
    </row>
    <row r="5" spans="1:5" x14ac:dyDescent="0.35">
      <c r="A5" s="27" t="s">
        <v>380</v>
      </c>
      <c r="B5" s="27" t="s">
        <v>381</v>
      </c>
      <c r="C5" s="27">
        <f t="shared" si="0"/>
        <v>2.7279999999999802</v>
      </c>
    </row>
    <row r="6" spans="1:5" s="35" customFormat="1" x14ac:dyDescent="0.35">
      <c r="A6" s="29" t="s">
        <v>382</v>
      </c>
      <c r="B6" s="29" t="s">
        <v>383</v>
      </c>
      <c r="C6" s="29">
        <f t="shared" si="0"/>
        <v>12.90300000000002</v>
      </c>
      <c r="D6" s="29"/>
      <c r="E6" s="29"/>
    </row>
    <row r="7" spans="1:5" x14ac:dyDescent="0.35">
      <c r="A7" s="27" t="s">
        <v>121</v>
      </c>
      <c r="B7" s="27" t="s">
        <v>384</v>
      </c>
      <c r="C7" s="27">
        <f t="shared" si="0"/>
        <v>10.369999999999976</v>
      </c>
    </row>
    <row r="8" spans="1:5" x14ac:dyDescent="0.35">
      <c r="A8" s="27" t="s">
        <v>385</v>
      </c>
      <c r="B8" s="27" t="s">
        <v>386</v>
      </c>
      <c r="C8" s="27">
        <f t="shared" si="0"/>
        <v>-3.7129999999999939</v>
      </c>
    </row>
    <row r="9" spans="1:5" x14ac:dyDescent="0.35">
      <c r="A9" s="27" t="s">
        <v>126</v>
      </c>
      <c r="B9" s="27" t="s">
        <v>387</v>
      </c>
      <c r="C9" s="27">
        <f t="shared" si="0"/>
        <v>-2.6389999999999816</v>
      </c>
    </row>
    <row r="10" spans="1:5" x14ac:dyDescent="0.35">
      <c r="A10" s="27" t="s">
        <v>388</v>
      </c>
      <c r="B10" s="27" t="s">
        <v>389</v>
      </c>
      <c r="C10" s="27">
        <f t="shared" si="0"/>
        <v>-2.6470000000000198</v>
      </c>
      <c r="D10" s="27" t="s">
        <v>436</v>
      </c>
    </row>
    <row r="11" spans="1:5" s="35" customFormat="1" x14ac:dyDescent="0.35">
      <c r="A11" s="29" t="s">
        <v>394</v>
      </c>
      <c r="B11" s="29" t="s">
        <v>397</v>
      </c>
      <c r="C11" s="29">
        <f t="shared" si="0"/>
        <v>9.8670000000000186</v>
      </c>
      <c r="D11" s="29"/>
      <c r="E11" s="29"/>
    </row>
    <row r="12" spans="1:5" x14ac:dyDescent="0.35">
      <c r="A12" s="27" t="s">
        <v>398</v>
      </c>
      <c r="B12" s="27" t="s">
        <v>401</v>
      </c>
      <c r="C12" s="27">
        <f t="shared" si="0"/>
        <v>3.6329999999999814</v>
      </c>
    </row>
    <row r="13" spans="1:5" x14ac:dyDescent="0.35">
      <c r="A13" s="27" t="s">
        <v>403</v>
      </c>
      <c r="B13" s="27" t="s">
        <v>404</v>
      </c>
      <c r="C13" s="27">
        <f t="shared" si="0"/>
        <v>7.9569999999999936</v>
      </c>
    </row>
    <row r="14" spans="1:5" x14ac:dyDescent="0.35">
      <c r="A14" s="27" t="s">
        <v>405</v>
      </c>
      <c r="B14" s="27" t="s">
        <v>407</v>
      </c>
      <c r="C14" s="27">
        <f t="shared" si="0"/>
        <v>-3.0809999999999604</v>
      </c>
    </row>
    <row r="15" spans="1:5" x14ac:dyDescent="0.35">
      <c r="A15" s="27" t="s">
        <v>410</v>
      </c>
      <c r="B15" s="27" t="s">
        <v>411</v>
      </c>
      <c r="C15" s="27">
        <f t="shared" si="0"/>
        <v>-5.1490000000000293</v>
      </c>
      <c r="D15" s="27" t="s">
        <v>435</v>
      </c>
    </row>
    <row r="16" spans="1:5" s="35" customFormat="1" x14ac:dyDescent="0.35">
      <c r="A16" s="29" t="s">
        <v>418</v>
      </c>
      <c r="B16" s="29" t="s">
        <v>421</v>
      </c>
      <c r="C16" s="29">
        <f t="shared" si="0"/>
        <v>-1.6200000000000045</v>
      </c>
      <c r="D16" s="29"/>
      <c r="E16" s="29"/>
    </row>
    <row r="17" spans="1:5" x14ac:dyDescent="0.35">
      <c r="A17" s="27" t="s">
        <v>423</v>
      </c>
      <c r="B17" s="27" t="s">
        <v>424</v>
      </c>
      <c r="C17" s="27">
        <f t="shared" si="0"/>
        <v>0.6220000000000141</v>
      </c>
    </row>
    <row r="18" spans="1:5" x14ac:dyDescent="0.35">
      <c r="A18" s="27" t="s">
        <v>426</v>
      </c>
      <c r="B18" s="27" t="s">
        <v>425</v>
      </c>
      <c r="C18" s="27">
        <f t="shared" si="0"/>
        <v>-2.3970000000000198</v>
      </c>
    </row>
    <row r="19" spans="1:5" x14ac:dyDescent="0.35">
      <c r="A19" s="27" t="s">
        <v>427</v>
      </c>
      <c r="B19" s="27" t="s">
        <v>428</v>
      </c>
      <c r="C19" s="27">
        <f t="shared" si="0"/>
        <v>7.4410000000000309</v>
      </c>
    </row>
    <row r="20" spans="1:5" x14ac:dyDescent="0.35">
      <c r="A20" s="27" t="s">
        <v>429</v>
      </c>
      <c r="B20" s="27" t="s">
        <v>430</v>
      </c>
      <c r="C20" s="27">
        <f t="shared" si="0"/>
        <v>-5.974000000000018</v>
      </c>
      <c r="D20" s="27" t="s">
        <v>437</v>
      </c>
    </row>
    <row r="21" spans="1:5" s="35" customFormat="1" x14ac:dyDescent="0.35">
      <c r="A21" s="29" t="s">
        <v>431</v>
      </c>
      <c r="B21" s="29" t="s">
        <v>432</v>
      </c>
      <c r="C21" s="29">
        <f t="shared" si="0"/>
        <v>12.378000000000014</v>
      </c>
      <c r="D21" s="29"/>
      <c r="E21" s="29"/>
    </row>
    <row r="22" spans="1:5" x14ac:dyDescent="0.35">
      <c r="A22" s="27" t="s">
        <v>433</v>
      </c>
      <c r="B22" s="27" t="s">
        <v>434</v>
      </c>
      <c r="C22" s="27">
        <f t="shared" si="0"/>
        <v>2.228999999999985</v>
      </c>
    </row>
    <row r="23" spans="1:5" x14ac:dyDescent="0.35">
      <c r="A23" s="27" t="s">
        <v>439</v>
      </c>
      <c r="B23" s="27" t="s">
        <v>440</v>
      </c>
      <c r="C23" s="27">
        <f t="shared" ref="C23:C31" si="1">B23-B22</f>
        <v>0.24799999999999045</v>
      </c>
    </row>
    <row r="24" spans="1:5" x14ac:dyDescent="0.35">
      <c r="A24" s="27" t="s">
        <v>444</v>
      </c>
      <c r="B24" s="27" t="s">
        <v>442</v>
      </c>
      <c r="C24" s="27">
        <f t="shared" si="1"/>
        <v>-1.0399999999999636</v>
      </c>
    </row>
    <row r="25" spans="1:5" x14ac:dyDescent="0.35">
      <c r="A25" s="27" t="s">
        <v>445</v>
      </c>
      <c r="B25" s="27" t="s">
        <v>446</v>
      </c>
      <c r="C25" s="27">
        <f t="shared" si="1"/>
        <v>3.999999999996362E-2</v>
      </c>
      <c r="D25" s="27" t="s">
        <v>447</v>
      </c>
    </row>
    <row r="26" spans="1:5" s="35" customFormat="1" x14ac:dyDescent="0.35">
      <c r="A26" s="29" t="s">
        <v>448</v>
      </c>
      <c r="B26" s="29" t="s">
        <v>449</v>
      </c>
      <c r="C26" s="29">
        <f t="shared" si="1"/>
        <v>-1.0199999999999818</v>
      </c>
      <c r="D26" s="29"/>
      <c r="E26" s="29"/>
    </row>
    <row r="27" spans="1:5" x14ac:dyDescent="0.35">
      <c r="A27" s="27" t="s">
        <v>451</v>
      </c>
      <c r="B27" s="27" t="s">
        <v>452</v>
      </c>
      <c r="C27" s="27">
        <f t="shared" si="1"/>
        <v>3.521000000000015</v>
      </c>
    </row>
    <row r="28" spans="1:5" x14ac:dyDescent="0.35">
      <c r="A28" s="27" t="s">
        <v>453</v>
      </c>
      <c r="B28" s="27" t="s">
        <v>454</v>
      </c>
      <c r="C28" s="27">
        <f t="shared" si="1"/>
        <v>-1.5950000000000273</v>
      </c>
    </row>
    <row r="29" spans="1:5" x14ac:dyDescent="0.35">
      <c r="A29" s="27" t="s">
        <v>458</v>
      </c>
      <c r="B29" s="27" t="s">
        <v>462</v>
      </c>
      <c r="C29" s="27">
        <f t="shared" si="1"/>
        <v>1.1949999999999932</v>
      </c>
    </row>
    <row r="30" spans="1:5" x14ac:dyDescent="0.35">
      <c r="A30" s="27" t="s">
        <v>465</v>
      </c>
      <c r="B30" s="27" t="s">
        <v>467</v>
      </c>
      <c r="C30" s="27">
        <f t="shared" si="1"/>
        <v>1.6510000000000105</v>
      </c>
      <c r="D30" s="27" t="s">
        <v>468</v>
      </c>
    </row>
    <row r="31" spans="1:5" s="35" customFormat="1" x14ac:dyDescent="0.35">
      <c r="A31" s="29" t="s">
        <v>469</v>
      </c>
      <c r="B31" s="29" t="s">
        <v>470</v>
      </c>
      <c r="C31" s="29">
        <f t="shared" si="1"/>
        <v>1.15300000000002</v>
      </c>
      <c r="D31" s="29"/>
      <c r="E31" s="29"/>
    </row>
    <row r="32" spans="1:5" x14ac:dyDescent="0.35">
      <c r="A32" s="27" t="s">
        <v>471</v>
      </c>
      <c r="B32" s="27" t="s">
        <v>472</v>
      </c>
      <c r="C32" s="27">
        <f t="shared" ref="C32:C45" si="2">B32-B31</f>
        <v>-3.5819999999999936</v>
      </c>
    </row>
    <row r="33" spans="1:5" x14ac:dyDescent="0.35">
      <c r="A33" s="27" t="s">
        <v>474</v>
      </c>
      <c r="B33" s="27" t="s">
        <v>475</v>
      </c>
      <c r="C33" s="27">
        <f t="shared" si="2"/>
        <v>4.2519999999999527</v>
      </c>
    </row>
    <row r="34" spans="1:5" x14ac:dyDescent="0.35">
      <c r="A34" s="27" t="s">
        <v>476</v>
      </c>
      <c r="B34" s="27" t="s">
        <v>477</v>
      </c>
      <c r="C34" s="27">
        <f t="shared" si="2"/>
        <v>0.78800000000001091</v>
      </c>
    </row>
    <row r="35" spans="1:5" x14ac:dyDescent="0.35">
      <c r="A35" s="27" t="s">
        <v>479</v>
      </c>
      <c r="B35" s="27" t="s">
        <v>483</v>
      </c>
      <c r="C35" s="27">
        <f t="shared" si="2"/>
        <v>6.1999999999999886</v>
      </c>
      <c r="D35" s="27" t="s">
        <v>484</v>
      </c>
    </row>
    <row r="36" spans="1:5" s="35" customFormat="1" x14ac:dyDescent="0.35">
      <c r="A36" s="29" t="s">
        <v>495</v>
      </c>
      <c r="B36" s="29" t="s">
        <v>499</v>
      </c>
      <c r="C36" s="29">
        <f t="shared" si="2"/>
        <v>6.3370000000000459</v>
      </c>
      <c r="D36" s="29"/>
      <c r="E36" s="29"/>
    </row>
    <row r="37" spans="1:5" x14ac:dyDescent="0.35">
      <c r="A37" s="27" t="s">
        <v>500</v>
      </c>
      <c r="B37" s="27" t="s">
        <v>501</v>
      </c>
      <c r="C37" s="27">
        <f t="shared" si="2"/>
        <v>4.5349999999999682</v>
      </c>
    </row>
    <row r="38" spans="1:5" x14ac:dyDescent="0.35">
      <c r="A38" s="27" t="s">
        <v>502</v>
      </c>
      <c r="B38" s="27" t="s">
        <v>503</v>
      </c>
      <c r="C38" s="27">
        <f t="shared" si="2"/>
        <v>2.8450000000000273</v>
      </c>
    </row>
    <row r="39" spans="1:5" x14ac:dyDescent="0.35">
      <c r="A39" s="27" t="s">
        <v>504</v>
      </c>
      <c r="B39" s="27" t="s">
        <v>508</v>
      </c>
      <c r="C39" s="27">
        <f t="shared" si="2"/>
        <v>-0.93900000000002137</v>
      </c>
    </row>
    <row r="40" spans="1:5" x14ac:dyDescent="0.35">
      <c r="A40" s="27" t="s">
        <v>509</v>
      </c>
      <c r="B40" s="27" t="s">
        <v>511</v>
      </c>
      <c r="C40" s="27">
        <f t="shared" si="2"/>
        <v>-2.8129999999999882</v>
      </c>
      <c r="D40" s="27" t="s">
        <v>512</v>
      </c>
    </row>
    <row r="41" spans="1:5" s="35" customFormat="1" x14ac:dyDescent="0.35">
      <c r="A41" s="29" t="s">
        <v>514</v>
      </c>
      <c r="B41" s="29" t="s">
        <v>517</v>
      </c>
      <c r="C41" s="29">
        <f t="shared" si="2"/>
        <v>5.0419999999999732</v>
      </c>
      <c r="D41" s="29"/>
      <c r="E41" s="29"/>
    </row>
    <row r="42" spans="1:5" x14ac:dyDescent="0.35">
      <c r="A42" s="27" t="s">
        <v>519</v>
      </c>
      <c r="B42" s="27" t="s">
        <v>521</v>
      </c>
      <c r="C42" s="27">
        <f t="shared" si="2"/>
        <v>0.28900000000004411</v>
      </c>
    </row>
    <row r="43" spans="1:5" x14ac:dyDescent="0.35">
      <c r="A43" s="27" t="s">
        <v>523</v>
      </c>
      <c r="B43" s="27" t="s">
        <v>525</v>
      </c>
      <c r="C43" s="27">
        <f t="shared" si="2"/>
        <v>3.8669999999999618</v>
      </c>
    </row>
    <row r="44" spans="1:5" x14ac:dyDescent="0.35">
      <c r="A44" s="27" t="s">
        <v>526</v>
      </c>
      <c r="B44" s="27" t="s">
        <v>530</v>
      </c>
      <c r="C44" s="27">
        <f t="shared" si="2"/>
        <v>2.9680000000000177</v>
      </c>
    </row>
    <row r="45" spans="1:5" x14ac:dyDescent="0.35">
      <c r="A45" s="27" t="s">
        <v>532</v>
      </c>
      <c r="B45" s="27" t="s">
        <v>534</v>
      </c>
      <c r="C45" s="27">
        <f t="shared" si="2"/>
        <v>0.85199999999997544</v>
      </c>
      <c r="D45" s="27" t="s">
        <v>535</v>
      </c>
    </row>
    <row r="46" spans="1:5" s="35" customFormat="1" x14ac:dyDescent="0.35">
      <c r="A46" s="29" t="s">
        <v>536</v>
      </c>
      <c r="B46" s="29"/>
      <c r="C46" s="29"/>
      <c r="D46" s="29"/>
      <c r="E46" s="29"/>
    </row>
    <row r="47" spans="1:5" x14ac:dyDescent="0.35">
      <c r="A47" s="27" t="s">
        <v>537</v>
      </c>
    </row>
    <row r="48" spans="1:5" x14ac:dyDescent="0.35">
      <c r="A48" s="27" t="s">
        <v>538</v>
      </c>
    </row>
    <row r="49" spans="1:5" x14ac:dyDescent="0.35">
      <c r="A49" s="27" t="s">
        <v>539</v>
      </c>
    </row>
    <row r="50" spans="1:5" x14ac:dyDescent="0.35">
      <c r="A50" s="27" t="s">
        <v>540</v>
      </c>
      <c r="B50" s="27" t="s">
        <v>541</v>
      </c>
      <c r="D50" s="27" t="s">
        <v>542</v>
      </c>
    </row>
    <row r="51" spans="1:5" s="35" customFormat="1" x14ac:dyDescent="0.35">
      <c r="A51" s="29" t="s">
        <v>544</v>
      </c>
      <c r="B51" s="29" t="s">
        <v>547</v>
      </c>
      <c r="C51" s="29" t="s">
        <v>546</v>
      </c>
      <c r="D51" s="29"/>
      <c r="E51" s="29" t="s">
        <v>548</v>
      </c>
    </row>
    <row r="52" spans="1:5" x14ac:dyDescent="0.35">
      <c r="A52" s="27" t="s">
        <v>549</v>
      </c>
      <c r="B52" s="27" t="s">
        <v>557</v>
      </c>
      <c r="C52" s="27">
        <f t="shared" ref="C52:C79" si="3">B52-B51</f>
        <v>-37.661999999999978</v>
      </c>
      <c r="E52" s="27" t="s">
        <v>551</v>
      </c>
    </row>
    <row r="53" spans="1:5" x14ac:dyDescent="0.35">
      <c r="A53" s="27" t="s">
        <v>558</v>
      </c>
      <c r="B53" s="27" t="s">
        <v>560</v>
      </c>
      <c r="C53" s="27">
        <f t="shared" si="3"/>
        <v>0.21800000000001774</v>
      </c>
    </row>
    <row r="54" spans="1:5" x14ac:dyDescent="0.35">
      <c r="A54" s="27" t="s">
        <v>561</v>
      </c>
      <c r="B54" s="27" t="s">
        <v>563</v>
      </c>
      <c r="C54" s="27">
        <f t="shared" si="3"/>
        <v>-4.9180000000000064</v>
      </c>
    </row>
    <row r="55" spans="1:5" x14ac:dyDescent="0.35">
      <c r="A55" s="27" t="s">
        <v>564</v>
      </c>
      <c r="B55" s="27" t="s">
        <v>565</v>
      </c>
      <c r="C55" s="27">
        <f t="shared" si="3"/>
        <v>-4.6000000000000227</v>
      </c>
      <c r="D55" s="27" t="s">
        <v>566</v>
      </c>
    </row>
    <row r="56" spans="1:5" s="35" customFormat="1" x14ac:dyDescent="0.35">
      <c r="A56" s="29" t="s">
        <v>569</v>
      </c>
      <c r="B56" s="29" t="s">
        <v>570</v>
      </c>
      <c r="C56" s="29">
        <f t="shared" si="3"/>
        <v>17.09899999999999</v>
      </c>
      <c r="D56" s="29"/>
      <c r="E56" s="29"/>
    </row>
    <row r="57" spans="1:5" x14ac:dyDescent="0.35">
      <c r="A57" s="27" t="s">
        <v>571</v>
      </c>
      <c r="B57" s="27" t="s">
        <v>573</v>
      </c>
      <c r="C57" s="27">
        <f t="shared" si="3"/>
        <v>-6.5699999999999932</v>
      </c>
    </row>
    <row r="58" spans="1:5" x14ac:dyDescent="0.35">
      <c r="A58" s="27" t="s">
        <v>574</v>
      </c>
      <c r="B58" s="27" t="s">
        <v>575</v>
      </c>
      <c r="C58" s="27">
        <f t="shared" si="3"/>
        <v>11.771000000000015</v>
      </c>
    </row>
    <row r="59" spans="1:5" x14ac:dyDescent="0.35">
      <c r="A59" s="27" t="s">
        <v>577</v>
      </c>
      <c r="B59" s="27" t="s">
        <v>578</v>
      </c>
      <c r="C59" s="27">
        <f t="shared" si="3"/>
        <v>13.463999999999999</v>
      </c>
    </row>
    <row r="60" spans="1:5" x14ac:dyDescent="0.35">
      <c r="A60" s="27" t="s">
        <v>579</v>
      </c>
      <c r="B60" s="27" t="s">
        <v>581</v>
      </c>
      <c r="C60" s="27">
        <f t="shared" si="3"/>
        <v>6.9390000000000214</v>
      </c>
      <c r="D60" s="27" t="s">
        <v>582</v>
      </c>
    </row>
    <row r="61" spans="1:5" s="35" customFormat="1" x14ac:dyDescent="0.35">
      <c r="A61" s="29" t="s">
        <v>583</v>
      </c>
      <c r="B61" s="29" t="s">
        <v>584</v>
      </c>
      <c r="C61" s="29">
        <f t="shared" si="3"/>
        <v>6.6879999999999882</v>
      </c>
      <c r="D61" s="29"/>
      <c r="E61" s="29"/>
    </row>
    <row r="62" spans="1:5" x14ac:dyDescent="0.35">
      <c r="A62" s="27" t="s">
        <v>585</v>
      </c>
      <c r="B62" s="27" t="s">
        <v>588</v>
      </c>
      <c r="C62" s="27">
        <f t="shared" si="3"/>
        <v>0.5</v>
      </c>
    </row>
    <row r="63" spans="1:5" x14ac:dyDescent="0.35">
      <c r="A63" s="27" t="s">
        <v>589</v>
      </c>
      <c r="B63" s="27" t="s">
        <v>591</v>
      </c>
      <c r="C63" s="27">
        <f t="shared" si="3"/>
        <v>9.6499999999999773</v>
      </c>
    </row>
    <row r="64" spans="1:5" x14ac:dyDescent="0.35">
      <c r="A64" s="27" t="s">
        <v>593</v>
      </c>
      <c r="B64" s="27" t="s">
        <v>595</v>
      </c>
      <c r="C64" s="27">
        <f t="shared" si="3"/>
        <v>19.437000000000012</v>
      </c>
    </row>
    <row r="65" spans="1:5" x14ac:dyDescent="0.35">
      <c r="A65" s="27" t="s">
        <v>596</v>
      </c>
      <c r="B65" s="27" t="s">
        <v>599</v>
      </c>
      <c r="C65" s="27">
        <f t="shared" si="3"/>
        <v>-15.956999999999994</v>
      </c>
      <c r="D65" s="27" t="s">
        <v>600</v>
      </c>
    </row>
    <row r="66" spans="1:5" s="35" customFormat="1" x14ac:dyDescent="0.35">
      <c r="A66" s="29" t="s">
        <v>601</v>
      </c>
      <c r="B66" s="29" t="s">
        <v>602</v>
      </c>
      <c r="C66" s="29">
        <f t="shared" si="3"/>
        <v>3.8509999999999991</v>
      </c>
      <c r="D66" s="29"/>
      <c r="E66" s="29"/>
    </row>
    <row r="67" spans="1:5" x14ac:dyDescent="0.35">
      <c r="A67" s="27" t="s">
        <v>603</v>
      </c>
      <c r="B67" s="27" t="s">
        <v>604</v>
      </c>
      <c r="C67" s="27">
        <f t="shared" si="3"/>
        <v>22.081999999999994</v>
      </c>
    </row>
    <row r="68" spans="1:5" x14ac:dyDescent="0.35">
      <c r="A68" s="27" t="s">
        <v>605</v>
      </c>
      <c r="B68" s="27" t="s">
        <v>608</v>
      </c>
      <c r="C68" s="27">
        <f t="shared" si="3"/>
        <v>9.5000000000027285E-2</v>
      </c>
    </row>
    <row r="69" spans="1:5" x14ac:dyDescent="0.35">
      <c r="A69" s="27" t="s">
        <v>610</v>
      </c>
      <c r="B69" s="27" t="s">
        <v>613</v>
      </c>
      <c r="C69" s="27">
        <f t="shared" si="3"/>
        <v>2.0339999999999918</v>
      </c>
    </row>
    <row r="70" spans="1:5" x14ac:dyDescent="0.35">
      <c r="A70" s="27" t="s">
        <v>614</v>
      </c>
      <c r="B70" s="27" t="s">
        <v>616</v>
      </c>
      <c r="C70" s="27">
        <f t="shared" si="3"/>
        <v>-36.876000000000033</v>
      </c>
      <c r="D70" s="27" t="s">
        <v>617</v>
      </c>
    </row>
    <row r="71" spans="1:5" s="35" customFormat="1" x14ac:dyDescent="0.35">
      <c r="A71" s="29" t="s">
        <v>619</v>
      </c>
      <c r="B71" s="29" t="s">
        <v>622</v>
      </c>
      <c r="C71" s="29">
        <f t="shared" ref="C71" si="4">B71-B70</f>
        <v>-16.415999999999997</v>
      </c>
      <c r="D71" s="29"/>
      <c r="E71" s="29"/>
    </row>
    <row r="72" spans="1:5" x14ac:dyDescent="0.35">
      <c r="A72" s="27" t="s">
        <v>623</v>
      </c>
      <c r="B72" s="27" t="s">
        <v>626</v>
      </c>
      <c r="C72" s="27">
        <f t="shared" si="3"/>
        <v>11.783999999999992</v>
      </c>
    </row>
    <row r="73" spans="1:5" x14ac:dyDescent="0.35">
      <c r="A73" s="27" t="s">
        <v>627</v>
      </c>
      <c r="B73" s="27" t="s">
        <v>630</v>
      </c>
      <c r="C73" s="27">
        <f t="shared" si="3"/>
        <v>-11.109999999999957</v>
      </c>
    </row>
    <row r="74" spans="1:5" x14ac:dyDescent="0.35">
      <c r="A74" s="27" t="s">
        <v>632</v>
      </c>
      <c r="B74" s="27" t="s">
        <v>633</v>
      </c>
      <c r="C74" s="27">
        <f t="shared" si="3"/>
        <v>5.4029999999999632</v>
      </c>
    </row>
    <row r="75" spans="1:5" x14ac:dyDescent="0.35">
      <c r="A75" s="27" t="s">
        <v>634</v>
      </c>
      <c r="B75" s="27" t="s">
        <v>637</v>
      </c>
      <c r="C75" s="27">
        <f t="shared" si="3"/>
        <v>7.910000000000025</v>
      </c>
      <c r="D75" s="27" t="s">
        <v>638</v>
      </c>
    </row>
    <row r="76" spans="1:5" s="35" customFormat="1" x14ac:dyDescent="0.35">
      <c r="A76" s="29" t="s">
        <v>652</v>
      </c>
      <c r="B76" s="29" t="s">
        <v>653</v>
      </c>
      <c r="C76" s="29">
        <f t="shared" si="3"/>
        <v>4.0409999999999968</v>
      </c>
      <c r="D76" s="29"/>
      <c r="E76" s="29"/>
    </row>
    <row r="77" spans="1:5" x14ac:dyDescent="0.35">
      <c r="A77" s="27" t="s">
        <v>654</v>
      </c>
      <c r="B77" s="27" t="s">
        <v>656</v>
      </c>
      <c r="C77" s="27">
        <f t="shared" si="3"/>
        <v>3.2090000000000032</v>
      </c>
    </row>
    <row r="78" spans="1:5" x14ac:dyDescent="0.35">
      <c r="A78" s="27" t="s">
        <v>663</v>
      </c>
      <c r="B78" s="27" t="s">
        <v>666</v>
      </c>
      <c r="C78" s="27">
        <f t="shared" si="3"/>
        <v>-15.769999999999982</v>
      </c>
      <c r="D78" s="27" t="s">
        <v>667</v>
      </c>
    </row>
    <row r="79" spans="1:5" s="35" customFormat="1" x14ac:dyDescent="0.35">
      <c r="A79" s="29" t="s">
        <v>675</v>
      </c>
      <c r="B79" s="29" t="s">
        <v>676</v>
      </c>
      <c r="C79" s="29">
        <f t="shared" si="3"/>
        <v>-18.628000000000043</v>
      </c>
      <c r="D79" s="29"/>
      <c r="E79" s="29"/>
    </row>
    <row r="80" spans="1:5" x14ac:dyDescent="0.35">
      <c r="A80" s="27" t="s">
        <v>689</v>
      </c>
      <c r="B80" s="27" t="s">
        <v>676</v>
      </c>
      <c r="C80" s="27">
        <f t="shared" ref="C80:C97" si="5">B80-B79</f>
        <v>0</v>
      </c>
    </row>
    <row r="81" spans="1:5" x14ac:dyDescent="0.35">
      <c r="A81" s="27" t="s">
        <v>690</v>
      </c>
      <c r="B81" s="27" t="s">
        <v>676</v>
      </c>
      <c r="C81" s="27">
        <f t="shared" si="5"/>
        <v>0</v>
      </c>
    </row>
    <row r="82" spans="1:5" x14ac:dyDescent="0.35">
      <c r="A82" s="27" t="s">
        <v>691</v>
      </c>
      <c r="B82" s="27" t="s">
        <v>692</v>
      </c>
      <c r="C82" s="27">
        <f t="shared" si="5"/>
        <v>-8.0999999999960437E-2</v>
      </c>
    </row>
    <row r="83" spans="1:5" x14ac:dyDescent="0.35">
      <c r="A83" s="27" t="s">
        <v>697</v>
      </c>
      <c r="B83" s="27" t="s">
        <v>702</v>
      </c>
      <c r="C83" s="27" t="s">
        <v>701</v>
      </c>
      <c r="D83" s="27" t="s">
        <v>699</v>
      </c>
      <c r="E83" s="27" t="s">
        <v>703</v>
      </c>
    </row>
    <row r="84" spans="1:5" s="35" customFormat="1" x14ac:dyDescent="0.35">
      <c r="A84" s="29" t="s">
        <v>700</v>
      </c>
      <c r="B84" s="29" t="s">
        <v>705</v>
      </c>
      <c r="C84" s="29">
        <f t="shared" si="5"/>
        <v>4.1639999999999873</v>
      </c>
      <c r="D84" s="29"/>
      <c r="E84" s="29"/>
    </row>
    <row r="85" spans="1:5" x14ac:dyDescent="0.35">
      <c r="A85" s="27" t="s">
        <v>711</v>
      </c>
      <c r="B85" s="27" t="s">
        <v>713</v>
      </c>
      <c r="C85" s="27">
        <f t="shared" si="5"/>
        <v>-8.4200000000000159</v>
      </c>
    </row>
    <row r="86" spans="1:5" x14ac:dyDescent="0.35">
      <c r="A86" s="27" t="s">
        <v>714</v>
      </c>
      <c r="B86" s="27" t="s">
        <v>715</v>
      </c>
      <c r="C86" s="27">
        <f t="shared" si="5"/>
        <v>-11.317000000000007</v>
      </c>
    </row>
    <row r="87" spans="1:5" x14ac:dyDescent="0.35">
      <c r="A87" s="27" t="s">
        <v>716</v>
      </c>
      <c r="B87" s="27" t="s">
        <v>721</v>
      </c>
      <c r="C87" s="27">
        <f t="shared" si="5"/>
        <v>-4.6229999999999905</v>
      </c>
    </row>
    <row r="88" spans="1:5" x14ac:dyDescent="0.35">
      <c r="A88" s="27" t="s">
        <v>722</v>
      </c>
      <c r="B88" s="27" t="s">
        <v>723</v>
      </c>
      <c r="C88" s="27">
        <f t="shared" si="5"/>
        <v>-1.48599999999999</v>
      </c>
      <c r="D88" s="27" t="s">
        <v>724</v>
      </c>
    </row>
    <row r="89" spans="1:5" s="35" customFormat="1" x14ac:dyDescent="0.35">
      <c r="A89" s="29" t="s">
        <v>729</v>
      </c>
      <c r="B89" s="29" t="s">
        <v>732</v>
      </c>
      <c r="C89" s="29">
        <f t="shared" ref="C89" si="6">B89-B88</f>
        <v>-6</v>
      </c>
      <c r="D89" s="29"/>
      <c r="E89" s="29"/>
    </row>
    <row r="90" spans="1:5" x14ac:dyDescent="0.35">
      <c r="A90" s="27" t="s">
        <v>738</v>
      </c>
      <c r="B90" s="27" t="s">
        <v>739</v>
      </c>
      <c r="C90" s="27">
        <f t="shared" si="5"/>
        <v>-3.9979999999999905</v>
      </c>
    </row>
    <row r="91" spans="1:5" x14ac:dyDescent="0.35">
      <c r="A91" s="27" t="s">
        <v>741</v>
      </c>
      <c r="B91" s="27" t="s">
        <v>742</v>
      </c>
      <c r="C91" s="27">
        <f t="shared" si="5"/>
        <v>12.730999999999995</v>
      </c>
    </row>
    <row r="92" spans="1:5" x14ac:dyDescent="0.35">
      <c r="A92" s="27" t="s">
        <v>744</v>
      </c>
      <c r="B92" s="27" t="s">
        <v>745</v>
      </c>
      <c r="C92" s="27">
        <f t="shared" si="5"/>
        <v>1.3899999999999864</v>
      </c>
    </row>
    <row r="93" spans="1:5" x14ac:dyDescent="0.35">
      <c r="A93" s="27" t="s">
        <v>749</v>
      </c>
      <c r="B93" s="27" t="s">
        <v>750</v>
      </c>
      <c r="C93" s="27">
        <f t="shared" si="5"/>
        <v>-5.6059999999999945</v>
      </c>
      <c r="D93" s="27" t="s">
        <v>751</v>
      </c>
    </row>
    <row r="94" spans="1:5" s="35" customFormat="1" x14ac:dyDescent="0.35">
      <c r="A94" s="29" t="s">
        <v>753</v>
      </c>
      <c r="B94" s="29" t="s">
        <v>756</v>
      </c>
      <c r="C94" s="29">
        <f t="shared" si="5"/>
        <v>-11.981999999999971</v>
      </c>
      <c r="D94" s="29"/>
      <c r="E94" s="29"/>
    </row>
    <row r="95" spans="1:5" x14ac:dyDescent="0.35">
      <c r="A95" s="27" t="s">
        <v>759</v>
      </c>
      <c r="B95" s="27" t="s">
        <v>761</v>
      </c>
      <c r="C95" s="27">
        <f t="shared" si="5"/>
        <v>-11.843999999999994</v>
      </c>
    </row>
    <row r="96" spans="1:5" x14ac:dyDescent="0.35">
      <c r="A96" s="27" t="s">
        <v>762</v>
      </c>
      <c r="B96" s="27" t="s">
        <v>764</v>
      </c>
      <c r="C96" s="27">
        <f t="shared" si="5"/>
        <v>5.8509999999999991</v>
      </c>
    </row>
    <row r="97" spans="1:5" x14ac:dyDescent="0.35">
      <c r="A97" s="27" t="s">
        <v>766</v>
      </c>
      <c r="B97" s="27" t="s">
        <v>769</v>
      </c>
      <c r="C97" s="27">
        <f t="shared" si="5"/>
        <v>-8.6410000000000196</v>
      </c>
    </row>
    <row r="98" spans="1:5" x14ac:dyDescent="0.35">
      <c r="A98" s="27" t="s">
        <v>771</v>
      </c>
      <c r="B98" s="27" t="s">
        <v>772</v>
      </c>
      <c r="C98" s="27">
        <f t="shared" ref="C98:C99" si="7">B98-B97</f>
        <v>-5.9809999999999945</v>
      </c>
      <c r="D98" s="27" t="s">
        <v>773</v>
      </c>
    </row>
    <row r="99" spans="1:5" s="35" customFormat="1" x14ac:dyDescent="0.35">
      <c r="A99" s="29" t="s">
        <v>775</v>
      </c>
      <c r="B99" s="29" t="s">
        <v>778</v>
      </c>
      <c r="C99" s="29">
        <f t="shared" si="7"/>
        <v>15.360000000000014</v>
      </c>
      <c r="D99" s="29"/>
      <c r="E99" s="29"/>
    </row>
    <row r="100" spans="1:5" x14ac:dyDescent="0.35">
      <c r="A100" s="27" t="s">
        <v>779</v>
      </c>
      <c r="B100" s="27" t="s">
        <v>781</v>
      </c>
      <c r="C100" s="27">
        <f t="shared" ref="C100:C105" si="8">B100-B99</f>
        <v>-8.5730000000000359</v>
      </c>
    </row>
    <row r="101" spans="1:5" x14ac:dyDescent="0.35">
      <c r="A101" s="27" t="s">
        <v>782</v>
      </c>
      <c r="B101" s="27" t="s">
        <v>783</v>
      </c>
      <c r="C101" s="27">
        <f t="shared" si="8"/>
        <v>1.5260000000000105</v>
      </c>
    </row>
    <row r="102" spans="1:5" x14ac:dyDescent="0.35">
      <c r="A102" s="27" t="s">
        <v>786</v>
      </c>
      <c r="B102" s="27" t="s">
        <v>787</v>
      </c>
      <c r="C102" s="27">
        <f t="shared" si="8"/>
        <v>8.1720000000000255</v>
      </c>
    </row>
    <row r="103" spans="1:5" x14ac:dyDescent="0.35">
      <c r="A103" s="27" t="s">
        <v>789</v>
      </c>
      <c r="B103" s="27" t="s">
        <v>794</v>
      </c>
      <c r="C103" s="27" t="s">
        <v>795</v>
      </c>
      <c r="D103" s="27" t="s">
        <v>798</v>
      </c>
      <c r="E103" s="27" t="s">
        <v>790</v>
      </c>
    </row>
    <row r="104" spans="1:5" s="35" customFormat="1" x14ac:dyDescent="0.35">
      <c r="A104" s="29" t="s">
        <v>797</v>
      </c>
      <c r="B104" s="29" t="s">
        <v>799</v>
      </c>
      <c r="C104" s="29">
        <f t="shared" ref="C104" si="9">B104-B103</f>
        <v>-6.7620000000000005</v>
      </c>
      <c r="D104" s="29"/>
      <c r="E104" s="29"/>
    </row>
    <row r="105" spans="1:5" x14ac:dyDescent="0.35">
      <c r="A105" s="27" t="s">
        <v>800</v>
      </c>
      <c r="B105" s="27" t="s">
        <v>801</v>
      </c>
      <c r="C105" s="27">
        <f t="shared" si="8"/>
        <v>3.6629999999999541</v>
      </c>
    </row>
    <row r="106" spans="1:5" x14ac:dyDescent="0.35">
      <c r="A106" s="27" t="s">
        <v>803</v>
      </c>
      <c r="B106" s="27" t="s">
        <v>804</v>
      </c>
      <c r="C106" s="27">
        <f t="shared" ref="C106" si="10">B106-B105</f>
        <v>5.4510000000000218</v>
      </c>
    </row>
    <row r="107" spans="1:5" x14ac:dyDescent="0.35">
      <c r="A107" s="27" t="s">
        <v>806</v>
      </c>
      <c r="B107" s="27" t="s">
        <v>807</v>
      </c>
      <c r="C107" s="27">
        <f t="shared" ref="C107" si="11">B107-B106</f>
        <v>1.3349999999999795</v>
      </c>
    </row>
    <row r="108" spans="1:5" x14ac:dyDescent="0.35">
      <c r="A108" s="27" t="s">
        <v>808</v>
      </c>
      <c r="B108" s="27" t="s">
        <v>809</v>
      </c>
      <c r="C108" s="27">
        <f t="shared" ref="C108:C110" si="12">B108-B107</f>
        <v>-13.475999999999999</v>
      </c>
      <c r="D108" s="27" t="s">
        <v>813</v>
      </c>
    </row>
    <row r="109" spans="1:5" s="35" customFormat="1" x14ac:dyDescent="0.35">
      <c r="A109" s="29" t="s">
        <v>814</v>
      </c>
      <c r="B109" s="29" t="s">
        <v>815</v>
      </c>
      <c r="C109" s="29">
        <f t="shared" si="12"/>
        <v>-27.645999999999958</v>
      </c>
      <c r="D109" s="29"/>
      <c r="E109" s="29"/>
    </row>
    <row r="110" spans="1:5" x14ac:dyDescent="0.35">
      <c r="A110" s="27" t="s">
        <v>816</v>
      </c>
      <c r="B110" s="27" t="s">
        <v>818</v>
      </c>
      <c r="C110" s="27">
        <f t="shared" si="12"/>
        <v>-1.0889999999999986</v>
      </c>
    </row>
    <row r="111" spans="1:5" x14ac:dyDescent="0.35">
      <c r="A111" s="27" t="s">
        <v>820</v>
      </c>
      <c r="B111" s="27" t="s">
        <v>825</v>
      </c>
      <c r="C111" s="27">
        <f t="shared" ref="C111" si="13">B111-B110</f>
        <v>2.2189999999999941</v>
      </c>
    </row>
    <row r="112" spans="1:5" x14ac:dyDescent="0.35">
      <c r="A112" s="27" t="s">
        <v>826</v>
      </c>
      <c r="B112" s="27" t="s">
        <v>828</v>
      </c>
      <c r="C112" s="27">
        <f t="shared" ref="C112:C127" si="14">B112-B111</f>
        <v>-1.5749999999999886</v>
      </c>
    </row>
    <row r="113" spans="1:5" x14ac:dyDescent="0.35">
      <c r="A113" s="27" t="s">
        <v>829</v>
      </c>
      <c r="B113" s="27" t="s">
        <v>831</v>
      </c>
      <c r="C113" s="27">
        <f t="shared" si="14"/>
        <v>-0.35200000000003229</v>
      </c>
      <c r="D113" s="27" t="s">
        <v>832</v>
      </c>
    </row>
    <row r="114" spans="1:5" s="35" customFormat="1" x14ac:dyDescent="0.35">
      <c r="A114" s="29" t="s">
        <v>836</v>
      </c>
      <c r="B114" s="29" t="s">
        <v>839</v>
      </c>
      <c r="C114" s="29">
        <f t="shared" si="14"/>
        <v>-8.757000000000005</v>
      </c>
      <c r="D114" s="29"/>
      <c r="E114" s="29"/>
    </row>
    <row r="115" spans="1:5" x14ac:dyDescent="0.35">
      <c r="A115" s="27" t="s">
        <v>841</v>
      </c>
      <c r="B115" s="27" t="s">
        <v>844</v>
      </c>
      <c r="C115" s="27">
        <f t="shared" si="14"/>
        <v>-0.2459999999999809</v>
      </c>
    </row>
    <row r="116" spans="1:5" x14ac:dyDescent="0.35">
      <c r="A116" s="27" t="s">
        <v>845</v>
      </c>
      <c r="B116" s="27" t="s">
        <v>849</v>
      </c>
      <c r="C116" s="27">
        <f t="shared" si="14"/>
        <v>3.8190000000000168</v>
      </c>
    </row>
    <row r="117" spans="1:5" x14ac:dyDescent="0.35">
      <c r="A117" s="27" t="s">
        <v>850</v>
      </c>
      <c r="B117" s="27" t="s">
        <v>851</v>
      </c>
      <c r="C117" s="27">
        <f t="shared" si="14"/>
        <v>1.950999999999965</v>
      </c>
    </row>
    <row r="118" spans="1:5" x14ac:dyDescent="0.35">
      <c r="A118" s="27" t="s">
        <v>852</v>
      </c>
      <c r="B118" s="27" t="s">
        <v>854</v>
      </c>
      <c r="C118" s="27">
        <f t="shared" si="14"/>
        <v>-1.9889999999999759</v>
      </c>
      <c r="D118" s="27" t="s">
        <v>855</v>
      </c>
    </row>
    <row r="119" spans="1:5" s="35" customFormat="1" x14ac:dyDescent="0.35">
      <c r="A119" s="29" t="s">
        <v>857</v>
      </c>
      <c r="B119" s="29" t="s">
        <v>861</v>
      </c>
      <c r="C119" s="29">
        <f t="shared" ref="C119" si="15">B119-B118</f>
        <v>-0.73500000000001364</v>
      </c>
      <c r="D119" s="29"/>
      <c r="E119" s="29"/>
    </row>
    <row r="120" spans="1:5" x14ac:dyDescent="0.35">
      <c r="A120" s="27" t="s">
        <v>862</v>
      </c>
      <c r="B120" s="27" t="s">
        <v>864</v>
      </c>
      <c r="C120" s="27">
        <f t="shared" si="14"/>
        <v>-4.8860000000000241</v>
      </c>
    </row>
    <row r="121" spans="1:5" x14ac:dyDescent="0.35">
      <c r="A121" s="27" t="s">
        <v>866</v>
      </c>
      <c r="B121" s="27" t="s">
        <v>869</v>
      </c>
      <c r="C121" s="27">
        <f t="shared" si="14"/>
        <v>-2.48599999999999</v>
      </c>
    </row>
    <row r="122" spans="1:5" x14ac:dyDescent="0.35">
      <c r="A122" s="27" t="s">
        <v>870</v>
      </c>
      <c r="B122" s="27" t="s">
        <v>873</v>
      </c>
      <c r="C122" s="27">
        <f t="shared" si="14"/>
        <v>-2.0910000000000082</v>
      </c>
    </row>
    <row r="123" spans="1:5" x14ac:dyDescent="0.35">
      <c r="A123" s="27" t="s">
        <v>875</v>
      </c>
      <c r="B123" s="27" t="s">
        <v>876</v>
      </c>
      <c r="C123" s="27">
        <f t="shared" si="14"/>
        <v>-10.23399999999998</v>
      </c>
      <c r="D123" s="27" t="s">
        <v>877</v>
      </c>
    </row>
    <row r="124" spans="1:5" s="35" customFormat="1" x14ac:dyDescent="0.35">
      <c r="A124" s="29" t="s">
        <v>878</v>
      </c>
      <c r="B124" s="29" t="s">
        <v>880</v>
      </c>
      <c r="C124" s="29">
        <f t="shared" si="14"/>
        <v>-7.2059999999999889</v>
      </c>
      <c r="D124" s="29"/>
      <c r="E124" s="29"/>
    </row>
    <row r="125" spans="1:5" x14ac:dyDescent="0.35">
      <c r="A125" s="27" t="s">
        <v>881</v>
      </c>
      <c r="B125" s="27" t="s">
        <v>882</v>
      </c>
      <c r="C125" s="27">
        <f t="shared" si="14"/>
        <v>1.9689999999999941</v>
      </c>
    </row>
    <row r="126" spans="1:5" x14ac:dyDescent="0.35">
      <c r="A126" s="27" t="s">
        <v>883</v>
      </c>
      <c r="B126" s="27" t="s">
        <v>884</v>
      </c>
      <c r="C126" s="27">
        <f t="shared" si="14"/>
        <v>5.7379999999999711</v>
      </c>
    </row>
    <row r="127" spans="1:5" x14ac:dyDescent="0.35">
      <c r="A127" s="27" t="s">
        <v>885</v>
      </c>
      <c r="B127" s="27" t="s">
        <v>888</v>
      </c>
      <c r="C127" s="27">
        <f t="shared" si="14"/>
        <v>8.7350000000000136</v>
      </c>
    </row>
    <row r="128" spans="1:5" x14ac:dyDescent="0.35">
      <c r="A128" s="27" t="s">
        <v>889</v>
      </c>
      <c r="B128" s="27" t="s">
        <v>890</v>
      </c>
      <c r="C128" s="27">
        <f t="shared" ref="C128:C137" si="16">B128-B127</f>
        <v>-1.8580000000000041</v>
      </c>
      <c r="D128" s="27" t="s">
        <v>891</v>
      </c>
    </row>
    <row r="129" spans="1:5" s="35" customFormat="1" x14ac:dyDescent="0.35">
      <c r="A129" s="29" t="s">
        <v>892</v>
      </c>
      <c r="B129" s="29" t="s">
        <v>895</v>
      </c>
      <c r="C129" s="29">
        <f t="shared" si="16"/>
        <v>4.4790000000000418</v>
      </c>
      <c r="D129" s="29"/>
      <c r="E129" s="29"/>
    </row>
    <row r="130" spans="1:5" x14ac:dyDescent="0.35">
      <c r="A130" s="27" t="s">
        <v>896</v>
      </c>
      <c r="B130" s="27" t="s">
        <v>898</v>
      </c>
      <c r="C130" s="27">
        <f t="shared" si="16"/>
        <v>-3.0050000000000523</v>
      </c>
    </row>
    <row r="131" spans="1:5" x14ac:dyDescent="0.35">
      <c r="A131" s="27" t="s">
        <v>899</v>
      </c>
      <c r="B131" s="27" t="s">
        <v>900</v>
      </c>
      <c r="C131" s="27">
        <f t="shared" si="16"/>
        <v>-3.625</v>
      </c>
    </row>
    <row r="132" spans="1:5" x14ac:dyDescent="0.35">
      <c r="A132" s="27" t="s">
        <v>901</v>
      </c>
      <c r="B132" s="27" t="s">
        <v>902</v>
      </c>
      <c r="C132" s="27">
        <f t="shared" si="16"/>
        <v>-2.0449999999999591</v>
      </c>
    </row>
    <row r="133" spans="1:5" x14ac:dyDescent="0.35">
      <c r="A133" s="27" t="s">
        <v>903</v>
      </c>
      <c r="B133" s="27" t="s">
        <v>904</v>
      </c>
      <c r="C133" s="27">
        <f t="shared" si="16"/>
        <v>-3.7940000000000396</v>
      </c>
      <c r="D133" s="27" t="s">
        <v>905</v>
      </c>
    </row>
    <row r="134" spans="1:5" s="35" customFormat="1" x14ac:dyDescent="0.35">
      <c r="A134" s="29" t="s">
        <v>907</v>
      </c>
      <c r="B134" s="29" t="s">
        <v>910</v>
      </c>
      <c r="C134" s="29">
        <f t="shared" ref="C134" si="17">B134-B133</f>
        <v>-2.2759999999999536</v>
      </c>
      <c r="D134" s="29"/>
      <c r="E134" s="29"/>
    </row>
    <row r="135" spans="1:5" x14ac:dyDescent="0.35">
      <c r="A135" s="27" t="s">
        <v>911</v>
      </c>
      <c r="B135" s="27" t="s">
        <v>910</v>
      </c>
      <c r="C135" s="27">
        <f t="shared" si="16"/>
        <v>0</v>
      </c>
    </row>
    <row r="136" spans="1:5" x14ac:dyDescent="0.35">
      <c r="A136" s="27" t="s">
        <v>912</v>
      </c>
      <c r="B136" s="27" t="s">
        <v>913</v>
      </c>
      <c r="C136" s="27">
        <f t="shared" si="16"/>
        <v>-0.39700000000001978</v>
      </c>
    </row>
    <row r="137" spans="1:5" x14ac:dyDescent="0.35">
      <c r="A137" s="27" t="s">
        <v>917</v>
      </c>
      <c r="B137" s="27" t="s">
        <v>916</v>
      </c>
      <c r="C137" s="27">
        <f t="shared" si="16"/>
        <v>0.60900000000000887</v>
      </c>
    </row>
    <row r="138" spans="1:5" x14ac:dyDescent="0.35">
      <c r="A138" s="27" t="s">
        <v>919</v>
      </c>
      <c r="B138" s="27" t="s">
        <v>920</v>
      </c>
      <c r="C138" s="27">
        <f t="shared" ref="C138:C228" si="18">B138-B137</f>
        <v>-4.5640000000000214</v>
      </c>
      <c r="D138" s="27" t="s">
        <v>921</v>
      </c>
    </row>
    <row r="139" spans="1:5" s="35" customFormat="1" x14ac:dyDescent="0.35">
      <c r="A139" s="29" t="s">
        <v>922</v>
      </c>
      <c r="B139" s="29" t="s">
        <v>924</v>
      </c>
      <c r="C139" s="29">
        <f t="shared" si="18"/>
        <v>-1.728999999999985</v>
      </c>
      <c r="D139" s="29"/>
      <c r="E139" s="29"/>
    </row>
    <row r="140" spans="1:5" x14ac:dyDescent="0.35">
      <c r="A140" s="27" t="s">
        <v>925</v>
      </c>
      <c r="B140" s="27" t="s">
        <v>926</v>
      </c>
      <c r="C140" s="27">
        <f t="shared" si="18"/>
        <v>3.9509999999999934</v>
      </c>
    </row>
    <row r="141" spans="1:5" x14ac:dyDescent="0.35">
      <c r="A141" s="27" t="s">
        <v>927</v>
      </c>
      <c r="B141" s="27" t="s">
        <v>928</v>
      </c>
      <c r="C141" s="27">
        <f t="shared" si="18"/>
        <v>6.3230000000000075</v>
      </c>
    </row>
    <row r="142" spans="1:5" x14ac:dyDescent="0.35">
      <c r="A142" s="27" t="s">
        <v>929</v>
      </c>
      <c r="B142" s="27" t="s">
        <v>932</v>
      </c>
      <c r="C142" s="27">
        <f t="shared" si="18"/>
        <v>-0.13999999999998636</v>
      </c>
    </row>
    <row r="143" spans="1:5" x14ac:dyDescent="0.35">
      <c r="A143" s="27" t="s">
        <v>933</v>
      </c>
      <c r="B143" s="27" t="s">
        <v>934</v>
      </c>
      <c r="C143" s="27">
        <f t="shared" si="18"/>
        <v>-6.4660000000000082</v>
      </c>
      <c r="D143" s="27" t="s">
        <v>935</v>
      </c>
    </row>
    <row r="144" spans="1:5" s="35" customFormat="1" x14ac:dyDescent="0.35">
      <c r="A144" s="29" t="s">
        <v>937</v>
      </c>
      <c r="B144" s="29" t="s">
        <v>939</v>
      </c>
      <c r="C144" s="29">
        <f t="shared" ref="C144" si="19">B144-B143</f>
        <v>0.48399999999998045</v>
      </c>
      <c r="D144" s="29"/>
      <c r="E144" s="29"/>
    </row>
    <row r="145" spans="1:5" x14ac:dyDescent="0.35">
      <c r="A145" s="27" t="s">
        <v>942</v>
      </c>
      <c r="B145" s="27" t="s">
        <v>943</v>
      </c>
      <c r="C145" s="27">
        <f t="shared" si="18"/>
        <v>-0.27199999999999136</v>
      </c>
    </row>
    <row r="146" spans="1:5" x14ac:dyDescent="0.35">
      <c r="A146" s="27" t="s">
        <v>946</v>
      </c>
      <c r="B146" s="27" t="s">
        <v>948</v>
      </c>
      <c r="C146" s="27">
        <f t="shared" si="18"/>
        <v>-2.532999999999987</v>
      </c>
    </row>
    <row r="147" spans="1:5" x14ac:dyDescent="0.35">
      <c r="A147" s="27" t="s">
        <v>950</v>
      </c>
      <c r="B147" s="27" t="s">
        <v>956</v>
      </c>
      <c r="C147" s="27">
        <f t="shared" si="18"/>
        <v>-19.844999999999999</v>
      </c>
      <c r="D147" s="27" t="s">
        <v>957</v>
      </c>
    </row>
    <row r="148" spans="1:5" s="35" customFormat="1" x14ac:dyDescent="0.35">
      <c r="A148" s="29" t="s">
        <v>958</v>
      </c>
      <c r="B148" s="29" t="s">
        <v>959</v>
      </c>
      <c r="C148" s="29">
        <f t="shared" si="18"/>
        <v>-1.3230000000000075</v>
      </c>
      <c r="D148" s="29"/>
      <c r="E148" s="29"/>
    </row>
    <row r="149" spans="1:5" x14ac:dyDescent="0.35">
      <c r="A149" s="27" t="s">
        <v>960</v>
      </c>
      <c r="B149" s="27" t="s">
        <v>961</v>
      </c>
      <c r="C149" s="27">
        <f t="shared" si="18"/>
        <v>5.8870000000000005</v>
      </c>
    </row>
    <row r="150" spans="1:5" x14ac:dyDescent="0.35">
      <c r="A150" s="27" t="s">
        <v>962</v>
      </c>
      <c r="B150" s="27" t="s">
        <v>963</v>
      </c>
      <c r="C150" s="27">
        <f t="shared" si="18"/>
        <v>-0.4970000000000141</v>
      </c>
    </row>
    <row r="151" spans="1:5" x14ac:dyDescent="0.35">
      <c r="A151" s="27" t="s">
        <v>964</v>
      </c>
      <c r="B151" s="27" t="s">
        <v>965</v>
      </c>
      <c r="C151" s="27">
        <f t="shared" si="18"/>
        <v>0.54600000000002069</v>
      </c>
    </row>
    <row r="152" spans="1:5" x14ac:dyDescent="0.35">
      <c r="A152" s="27" t="s">
        <v>966</v>
      </c>
      <c r="B152" s="27" t="s">
        <v>968</v>
      </c>
      <c r="C152" s="27">
        <f t="shared" si="18"/>
        <v>-1.8070000000000164</v>
      </c>
      <c r="D152" s="27" t="s">
        <v>969</v>
      </c>
    </row>
    <row r="153" spans="1:5" s="35" customFormat="1" x14ac:dyDescent="0.35">
      <c r="A153" s="29" t="s">
        <v>971</v>
      </c>
      <c r="B153" s="29" t="s">
        <v>972</v>
      </c>
      <c r="C153" s="29">
        <f t="shared" ref="C153" si="20">B153-B152</f>
        <v>3.4230000000000018</v>
      </c>
      <c r="D153" s="29"/>
      <c r="E153" s="29"/>
    </row>
    <row r="154" spans="1:5" x14ac:dyDescent="0.35">
      <c r="A154" s="27" t="s">
        <v>973</v>
      </c>
      <c r="B154" s="27" t="s">
        <v>975</v>
      </c>
      <c r="C154" s="27">
        <f t="shared" si="18"/>
        <v>0.39300000000000068</v>
      </c>
    </row>
    <row r="155" spans="1:5" x14ac:dyDescent="0.35">
      <c r="A155" s="27" t="s">
        <v>976</v>
      </c>
      <c r="B155" s="27" t="s">
        <v>977</v>
      </c>
      <c r="C155" s="27">
        <f t="shared" si="18"/>
        <v>-1.186000000000007</v>
      </c>
    </row>
    <row r="156" spans="1:5" x14ac:dyDescent="0.35">
      <c r="A156" s="27" t="s">
        <v>978</v>
      </c>
      <c r="B156" s="27" t="s">
        <v>979</v>
      </c>
      <c r="C156" s="27">
        <f t="shared" si="18"/>
        <v>-4.9779999999999802</v>
      </c>
    </row>
    <row r="157" spans="1:5" x14ac:dyDescent="0.35">
      <c r="A157" s="27" t="s">
        <v>980</v>
      </c>
      <c r="B157" s="27" t="s">
        <v>981</v>
      </c>
      <c r="C157" s="27">
        <f t="shared" si="18"/>
        <v>-4.5010000000000048</v>
      </c>
      <c r="D157" s="27" t="s">
        <v>982</v>
      </c>
    </row>
    <row r="158" spans="1:5" s="35" customFormat="1" x14ac:dyDescent="0.35">
      <c r="A158" s="29" t="s">
        <v>983</v>
      </c>
      <c r="B158" s="29" t="s">
        <v>984</v>
      </c>
      <c r="C158" s="29">
        <f t="shared" si="18"/>
        <v>0.28999999999999204</v>
      </c>
      <c r="D158" s="29"/>
      <c r="E158" s="29"/>
    </row>
    <row r="159" spans="1:5" x14ac:dyDescent="0.35">
      <c r="A159" s="27" t="s">
        <v>985</v>
      </c>
      <c r="B159" s="27" t="s">
        <v>986</v>
      </c>
      <c r="C159" s="27">
        <f t="shared" si="18"/>
        <v>-2.4660000000000082</v>
      </c>
    </row>
    <row r="160" spans="1:5" x14ac:dyDescent="0.35">
      <c r="A160" s="27" t="s">
        <v>989</v>
      </c>
      <c r="B160" s="27" t="s">
        <v>990</v>
      </c>
      <c r="C160" s="27">
        <f t="shared" si="18"/>
        <v>-1.9279999999999973</v>
      </c>
      <c r="D160" s="27" t="s">
        <v>991</v>
      </c>
    </row>
    <row r="161" spans="1:5" s="35" customFormat="1" x14ac:dyDescent="0.35">
      <c r="A161" s="29" t="s">
        <v>992</v>
      </c>
      <c r="B161" s="29" t="s">
        <v>995</v>
      </c>
      <c r="C161" s="29">
        <f t="shared" si="18"/>
        <v>-4.2680000000000007</v>
      </c>
      <c r="D161" s="29"/>
      <c r="E161" s="29"/>
    </row>
    <row r="162" spans="1:5" x14ac:dyDescent="0.35">
      <c r="A162" s="27" t="s">
        <v>999</v>
      </c>
      <c r="B162" s="27" t="s">
        <v>1001</v>
      </c>
      <c r="C162" s="27">
        <f t="shared" si="18"/>
        <v>3.2180000000000177</v>
      </c>
    </row>
    <row r="163" spans="1:5" x14ac:dyDescent="0.35">
      <c r="A163" s="27" t="s">
        <v>1004</v>
      </c>
      <c r="B163" s="27" t="s">
        <v>1005</v>
      </c>
      <c r="C163" s="27">
        <f t="shared" si="18"/>
        <v>5.9509999999999934</v>
      </c>
    </row>
    <row r="164" spans="1:5" x14ac:dyDescent="0.35">
      <c r="A164" s="27" t="s">
        <v>1007</v>
      </c>
      <c r="B164" s="27" t="s">
        <v>1008</v>
      </c>
      <c r="C164" s="27">
        <f t="shared" si="18"/>
        <v>-1.882000000000005</v>
      </c>
    </row>
    <row r="165" spans="1:5" x14ac:dyDescent="0.35">
      <c r="A165" s="27" t="s">
        <v>1009</v>
      </c>
      <c r="B165" s="27" t="s">
        <v>1010</v>
      </c>
      <c r="C165" s="27">
        <f t="shared" si="18"/>
        <v>16.623999999999995</v>
      </c>
      <c r="D165" s="27" t="s">
        <v>1011</v>
      </c>
    </row>
    <row r="166" spans="1:5" s="35" customFormat="1" x14ac:dyDescent="0.35">
      <c r="A166" s="29" t="s">
        <v>1014</v>
      </c>
      <c r="B166" s="29" t="s">
        <v>1017</v>
      </c>
      <c r="C166" s="29">
        <f t="shared" si="18"/>
        <v>9.3990000000000009</v>
      </c>
      <c r="D166" s="29"/>
      <c r="E166" s="29"/>
    </row>
    <row r="167" spans="1:5" x14ac:dyDescent="0.35">
      <c r="A167" s="27" t="s">
        <v>1018</v>
      </c>
      <c r="B167" s="27" t="s">
        <v>1021</v>
      </c>
      <c r="C167" s="27">
        <f t="shared" si="18"/>
        <v>-1.2489999999999952</v>
      </c>
    </row>
    <row r="168" spans="1:5" x14ac:dyDescent="0.35">
      <c r="A168" s="27" t="s">
        <v>1022</v>
      </c>
      <c r="B168" s="27" t="s">
        <v>1027</v>
      </c>
      <c r="C168" s="27">
        <f t="shared" si="18"/>
        <v>15.357999999999976</v>
      </c>
      <c r="E168" s="27" t="s">
        <v>1028</v>
      </c>
    </row>
    <row r="169" spans="1:5" x14ac:dyDescent="0.35">
      <c r="A169" s="27" t="s">
        <v>1026</v>
      </c>
      <c r="B169" s="27" t="s">
        <v>1030</v>
      </c>
      <c r="C169" s="27">
        <f t="shared" si="18"/>
        <v>-12.84099999999998</v>
      </c>
    </row>
    <row r="170" spans="1:5" x14ac:dyDescent="0.35">
      <c r="A170" s="27" t="s">
        <v>1031</v>
      </c>
      <c r="B170" s="27" t="s">
        <v>1033</v>
      </c>
      <c r="C170" s="27">
        <f t="shared" si="18"/>
        <v>2.3049999999999784</v>
      </c>
      <c r="D170" s="27" t="s">
        <v>1034</v>
      </c>
    </row>
    <row r="171" spans="1:5" s="35" customFormat="1" x14ac:dyDescent="0.35">
      <c r="A171" s="29" t="s">
        <v>1035</v>
      </c>
      <c r="B171" s="29" t="s">
        <v>1036</v>
      </c>
      <c r="C171" s="29">
        <f t="shared" ref="C171" si="21">B171-B170</f>
        <v>-1.0769999999999698</v>
      </c>
      <c r="D171" s="29"/>
      <c r="E171" s="29"/>
    </row>
    <row r="172" spans="1:5" x14ac:dyDescent="0.35">
      <c r="A172" s="27" t="s">
        <v>1037</v>
      </c>
      <c r="B172" s="27" t="s">
        <v>1038</v>
      </c>
      <c r="C172" s="27">
        <f t="shared" si="18"/>
        <v>-1.2590000000000146</v>
      </c>
    </row>
    <row r="173" spans="1:5" x14ac:dyDescent="0.35">
      <c r="A173" s="27" t="s">
        <v>1039</v>
      </c>
      <c r="B173" s="27" t="s">
        <v>1040</v>
      </c>
      <c r="C173" s="27">
        <f t="shared" si="18"/>
        <v>-10.47999999999999</v>
      </c>
    </row>
    <row r="174" spans="1:5" x14ac:dyDescent="0.35">
      <c r="A174" s="27" t="s">
        <v>1041</v>
      </c>
      <c r="B174" s="27" t="s">
        <v>1042</v>
      </c>
      <c r="C174" s="27">
        <f t="shared" si="18"/>
        <v>-5.3019999999999925</v>
      </c>
    </row>
    <row r="175" spans="1:5" x14ac:dyDescent="0.35">
      <c r="A175" s="27" t="s">
        <v>1045</v>
      </c>
      <c r="B175" s="27" t="s">
        <v>1046</v>
      </c>
      <c r="C175" s="27">
        <f t="shared" si="18"/>
        <v>-5.7410000000000139</v>
      </c>
      <c r="D175" s="27" t="s">
        <v>1047</v>
      </c>
    </row>
    <row r="176" spans="1:5" s="35" customFormat="1" x14ac:dyDescent="0.35">
      <c r="A176" s="29" t="s">
        <v>1048</v>
      </c>
      <c r="B176" s="29" t="s">
        <v>1049</v>
      </c>
      <c r="C176" s="29">
        <f t="shared" si="18"/>
        <v>-3.3319999999999936</v>
      </c>
      <c r="D176" s="29"/>
      <c r="E176" s="29"/>
    </row>
    <row r="177" spans="1:5" x14ac:dyDescent="0.35">
      <c r="A177" s="27" t="s">
        <v>1052</v>
      </c>
      <c r="B177" s="27" t="s">
        <v>1053</v>
      </c>
      <c r="C177" s="27">
        <f t="shared" si="18"/>
        <v>5.5989999999999895</v>
      </c>
    </row>
    <row r="178" spans="1:5" x14ac:dyDescent="0.35">
      <c r="A178" s="27" t="s">
        <v>1054</v>
      </c>
      <c r="B178" s="27" t="s">
        <v>1056</v>
      </c>
      <c r="C178" s="27">
        <f t="shared" si="18"/>
        <v>-7.1269999999999811</v>
      </c>
    </row>
    <row r="179" spans="1:5" x14ac:dyDescent="0.35">
      <c r="A179" s="27" t="s">
        <v>1059</v>
      </c>
      <c r="B179" s="27" t="s">
        <v>1060</v>
      </c>
      <c r="C179" s="27">
        <f t="shared" si="18"/>
        <v>5.3100000000000023</v>
      </c>
    </row>
    <row r="180" spans="1:5" x14ac:dyDescent="0.35">
      <c r="A180" s="27" t="s">
        <v>1063</v>
      </c>
      <c r="B180" s="27" t="s">
        <v>1064</v>
      </c>
      <c r="C180" s="27">
        <f t="shared" si="18"/>
        <v>5.1079999999999757</v>
      </c>
      <c r="D180" s="27" t="s">
        <v>1065</v>
      </c>
    </row>
    <row r="181" spans="1:5" s="35" customFormat="1" x14ac:dyDescent="0.35">
      <c r="A181" s="29" t="s">
        <v>1067</v>
      </c>
      <c r="B181" s="29" t="s">
        <v>1068</v>
      </c>
      <c r="C181" s="29">
        <f t="shared" si="18"/>
        <v>6.7450000000000045</v>
      </c>
      <c r="D181" s="29"/>
      <c r="E181" s="29"/>
    </row>
    <row r="182" spans="1:5" x14ac:dyDescent="0.35">
      <c r="A182" s="27" t="s">
        <v>1069</v>
      </c>
      <c r="B182" s="27" t="s">
        <v>1070</v>
      </c>
      <c r="C182" s="27">
        <f t="shared" si="18"/>
        <v>8.6280000000000143</v>
      </c>
    </row>
    <row r="183" spans="1:5" x14ac:dyDescent="0.35">
      <c r="A183" s="27" t="s">
        <v>1071</v>
      </c>
      <c r="B183" s="27" t="s">
        <v>1072</v>
      </c>
      <c r="C183" s="27">
        <f t="shared" si="18"/>
        <v>-15.039999999999992</v>
      </c>
    </row>
    <row r="184" spans="1:5" x14ac:dyDescent="0.35">
      <c r="A184" s="27" t="s">
        <v>1075</v>
      </c>
      <c r="B184" s="27" t="s">
        <v>1076</v>
      </c>
      <c r="C184" s="27">
        <f t="shared" si="18"/>
        <v>-14.457000000000022</v>
      </c>
      <c r="D184" s="27" t="s">
        <v>1077</v>
      </c>
    </row>
    <row r="185" spans="1:5" s="35" customFormat="1" x14ac:dyDescent="0.35">
      <c r="A185" s="29" t="s">
        <v>1080</v>
      </c>
      <c r="B185" s="29" t="s">
        <v>1081</v>
      </c>
      <c r="C185" s="29">
        <f t="shared" si="18"/>
        <v>-12.185999999999979</v>
      </c>
      <c r="D185" s="29"/>
      <c r="E185" s="29"/>
    </row>
    <row r="186" spans="1:5" x14ac:dyDescent="0.35">
      <c r="A186" s="27" t="s">
        <v>1082</v>
      </c>
      <c r="B186" s="27" t="s">
        <v>1083</v>
      </c>
      <c r="C186" s="27">
        <f t="shared" si="18"/>
        <v>-6.1000000000007049E-2</v>
      </c>
    </row>
    <row r="187" spans="1:5" x14ac:dyDescent="0.35">
      <c r="A187" s="27" t="s">
        <v>1084</v>
      </c>
      <c r="B187" s="27" t="s">
        <v>1085</v>
      </c>
      <c r="C187" s="27">
        <f t="shared" si="18"/>
        <v>10.134999999999991</v>
      </c>
    </row>
    <row r="188" spans="1:5" x14ac:dyDescent="0.35">
      <c r="A188" s="27" t="s">
        <v>1086</v>
      </c>
      <c r="B188" s="27" t="s">
        <v>1087</v>
      </c>
      <c r="C188" s="27">
        <f t="shared" si="18"/>
        <v>-0.61099999999999</v>
      </c>
    </row>
    <row r="189" spans="1:5" x14ac:dyDescent="0.35">
      <c r="A189" s="27" t="s">
        <v>1088</v>
      </c>
      <c r="B189" s="27" t="s">
        <v>1090</v>
      </c>
      <c r="C189" s="27">
        <f t="shared" si="18"/>
        <v>2.0679999999999836</v>
      </c>
      <c r="D189" s="27" t="s">
        <v>1091</v>
      </c>
    </row>
    <row r="190" spans="1:5" s="35" customFormat="1" x14ac:dyDescent="0.35">
      <c r="A190" s="29" t="s">
        <v>1092</v>
      </c>
      <c r="B190" s="29" t="s">
        <v>1093</v>
      </c>
      <c r="C190" s="29">
        <f t="shared" si="18"/>
        <v>10.155000000000001</v>
      </c>
      <c r="D190" s="29"/>
      <c r="E190" s="29"/>
    </row>
    <row r="191" spans="1:5" x14ac:dyDescent="0.35">
      <c r="A191" s="27" t="s">
        <v>1094</v>
      </c>
      <c r="B191" s="27" t="s">
        <v>1095</v>
      </c>
      <c r="C191" s="27">
        <f t="shared" si="18"/>
        <v>-3.796999999999997</v>
      </c>
    </row>
    <row r="192" spans="1:5" x14ac:dyDescent="0.35">
      <c r="A192" s="27" t="s">
        <v>1097</v>
      </c>
      <c r="B192" s="27" t="s">
        <v>1107</v>
      </c>
      <c r="C192" s="27" t="s">
        <v>1106</v>
      </c>
      <c r="E192" s="27" t="s">
        <v>1105</v>
      </c>
    </row>
    <row r="193" spans="1:5" x14ac:dyDescent="0.35">
      <c r="A193" s="27" t="s">
        <v>1101</v>
      </c>
      <c r="B193" s="27" t="s">
        <v>1108</v>
      </c>
      <c r="C193" s="27">
        <f t="shared" si="18"/>
        <v>2.3509999999999991</v>
      </c>
    </row>
    <row r="194" spans="1:5" x14ac:dyDescent="0.35">
      <c r="A194" s="27" t="s">
        <v>1109</v>
      </c>
      <c r="B194" s="27" t="s">
        <v>1110</v>
      </c>
      <c r="C194" s="27">
        <f t="shared" si="18"/>
        <v>-3.0240000000000009</v>
      </c>
      <c r="D194" s="27" t="s">
        <v>1111</v>
      </c>
    </row>
    <row r="195" spans="1:5" s="35" customFormat="1" x14ac:dyDescent="0.35">
      <c r="A195" s="29" t="s">
        <v>1112</v>
      </c>
      <c r="B195" s="29" t="s">
        <v>1113</v>
      </c>
      <c r="C195" s="29">
        <f t="shared" si="18"/>
        <v>-11.394999999999982</v>
      </c>
      <c r="D195" s="29"/>
      <c r="E195" s="29"/>
    </row>
    <row r="196" spans="1:5" x14ac:dyDescent="0.35">
      <c r="A196" s="27" t="s">
        <v>1114</v>
      </c>
      <c r="B196" s="27" t="s">
        <v>1115</v>
      </c>
      <c r="C196" s="27">
        <f t="shared" si="18"/>
        <v>-5.3780000000000143</v>
      </c>
    </row>
    <row r="197" spans="1:5" x14ac:dyDescent="0.35">
      <c r="A197" s="27" t="s">
        <v>1116</v>
      </c>
      <c r="B197" s="27" t="s">
        <v>1117</v>
      </c>
      <c r="C197" s="27">
        <f t="shared" si="18"/>
        <v>2.7600000000000193</v>
      </c>
    </row>
    <row r="198" spans="1:5" x14ac:dyDescent="0.35">
      <c r="A198" s="27" t="s">
        <v>1118</v>
      </c>
      <c r="B198" s="27" t="s">
        <v>1119</v>
      </c>
      <c r="C198" s="27">
        <f t="shared" si="18"/>
        <v>-0.90200000000001523</v>
      </c>
    </row>
    <row r="199" spans="1:5" x14ac:dyDescent="0.35">
      <c r="A199" s="27" t="s">
        <v>1120</v>
      </c>
      <c r="B199" s="27" t="s">
        <v>1121</v>
      </c>
      <c r="C199" s="27">
        <f t="shared" si="18"/>
        <v>-12.381</v>
      </c>
      <c r="D199" s="27" t="s">
        <v>1122</v>
      </c>
    </row>
    <row r="200" spans="1:5" s="35" customFormat="1" x14ac:dyDescent="0.35">
      <c r="A200" s="29" t="s">
        <v>1125</v>
      </c>
      <c r="B200" s="29" t="s">
        <v>1124</v>
      </c>
      <c r="C200" s="29">
        <f t="shared" si="18"/>
        <v>-29.463999999999999</v>
      </c>
      <c r="D200" s="29"/>
      <c r="E200" s="29"/>
    </row>
    <row r="201" spans="1:5" x14ac:dyDescent="0.35">
      <c r="A201" s="27" t="s">
        <v>1123</v>
      </c>
      <c r="B201" s="27" t="s">
        <v>1126</v>
      </c>
      <c r="C201" s="27">
        <f t="shared" si="18"/>
        <v>8.0999999999999943</v>
      </c>
    </row>
    <row r="202" spans="1:5" x14ac:dyDescent="0.35">
      <c r="A202" s="27" t="s">
        <v>1128</v>
      </c>
      <c r="B202" s="27" t="s">
        <v>1129</v>
      </c>
      <c r="C202" s="27">
        <f t="shared" si="18"/>
        <v>9.7230000000000132</v>
      </c>
    </row>
    <row r="203" spans="1:5" x14ac:dyDescent="0.35">
      <c r="A203" s="27" t="s">
        <v>1130</v>
      </c>
      <c r="B203" s="27" t="s">
        <v>1131</v>
      </c>
      <c r="C203" s="27">
        <f t="shared" si="18"/>
        <v>-6.4210000000000207</v>
      </c>
    </row>
    <row r="204" spans="1:5" x14ac:dyDescent="0.35">
      <c r="A204" s="27" t="s">
        <v>1132</v>
      </c>
      <c r="B204" s="27" t="s">
        <v>1133</v>
      </c>
      <c r="C204" s="27">
        <f t="shared" si="18"/>
        <v>-5.0049999999999955</v>
      </c>
      <c r="D204" s="27" t="s">
        <v>1134</v>
      </c>
    </row>
    <row r="205" spans="1:5" s="35" customFormat="1" x14ac:dyDescent="0.35">
      <c r="A205" s="29" t="s">
        <v>1135</v>
      </c>
      <c r="B205" s="29" t="s">
        <v>1136</v>
      </c>
      <c r="C205" s="29">
        <f t="shared" si="18"/>
        <v>-0.84799999999998477</v>
      </c>
      <c r="D205" s="29"/>
      <c r="E205" s="29"/>
    </row>
    <row r="206" spans="1:5" x14ac:dyDescent="0.35">
      <c r="A206" s="27" t="s">
        <v>1137</v>
      </c>
      <c r="B206" s="27" t="s">
        <v>1138</v>
      </c>
      <c r="C206" s="27">
        <f t="shared" si="18"/>
        <v>7.3220000000000027</v>
      </c>
    </row>
    <row r="207" spans="1:5" x14ac:dyDescent="0.35">
      <c r="A207" s="27" t="s">
        <v>1140</v>
      </c>
      <c r="B207" s="27" t="s">
        <v>1141</v>
      </c>
      <c r="C207" s="27">
        <f t="shared" si="18"/>
        <v>-2.6630000000000109</v>
      </c>
    </row>
    <row r="208" spans="1:5" x14ac:dyDescent="0.35">
      <c r="A208" s="27" t="s">
        <v>1142</v>
      </c>
      <c r="B208" s="27" t="s">
        <v>1143</v>
      </c>
      <c r="C208" s="27">
        <f t="shared" si="18"/>
        <v>-5.9480000000000075</v>
      </c>
    </row>
    <row r="209" spans="1:5" x14ac:dyDescent="0.35">
      <c r="A209" s="27" t="s">
        <v>1144</v>
      </c>
      <c r="B209" s="27" t="s">
        <v>1145</v>
      </c>
      <c r="C209" s="27">
        <f t="shared" si="18"/>
        <v>-8.7270000000000039</v>
      </c>
      <c r="D209" s="27" t="s">
        <v>1146</v>
      </c>
    </row>
    <row r="210" spans="1:5" s="35" customFormat="1" x14ac:dyDescent="0.35">
      <c r="A210" s="29" t="s">
        <v>1147</v>
      </c>
      <c r="B210" s="29" t="s">
        <v>1148</v>
      </c>
      <c r="C210" s="29">
        <f t="shared" si="18"/>
        <v>-13.038999999999987</v>
      </c>
      <c r="D210" s="29"/>
      <c r="E210" s="29"/>
    </row>
    <row r="211" spans="1:5" x14ac:dyDescent="0.35">
      <c r="A211" s="27" t="s">
        <v>1149</v>
      </c>
      <c r="B211" s="27" t="s">
        <v>1150</v>
      </c>
      <c r="C211" s="27">
        <f t="shared" si="18"/>
        <v>5.1529999999999916</v>
      </c>
    </row>
    <row r="212" spans="1:5" x14ac:dyDescent="0.35">
      <c r="A212" s="27" t="s">
        <v>1151</v>
      </c>
      <c r="B212" s="27" t="s">
        <v>1152</v>
      </c>
      <c r="C212" s="27">
        <f t="shared" si="18"/>
        <v>5.2350000000000136</v>
      </c>
    </row>
    <row r="213" spans="1:5" x14ac:dyDescent="0.35">
      <c r="A213" s="27" t="s">
        <v>1153</v>
      </c>
      <c r="B213" s="27" t="s">
        <v>1154</v>
      </c>
      <c r="C213" s="27">
        <f t="shared" si="18"/>
        <v>2.1329999999999814</v>
      </c>
    </row>
    <row r="214" spans="1:5" x14ac:dyDescent="0.35">
      <c r="A214" s="27" t="s">
        <v>1155</v>
      </c>
      <c r="B214" s="27" t="s">
        <v>1156</v>
      </c>
      <c r="C214" s="27">
        <f t="shared" si="18"/>
        <v>6.7080000000000268</v>
      </c>
      <c r="D214" s="27" t="s">
        <v>1157</v>
      </c>
    </row>
    <row r="215" spans="1:5" s="35" customFormat="1" x14ac:dyDescent="0.35">
      <c r="A215" s="29" t="s">
        <v>1158</v>
      </c>
      <c r="B215" s="29" t="s">
        <v>1160</v>
      </c>
      <c r="C215" s="29">
        <f t="shared" si="18"/>
        <v>-2.554000000000002</v>
      </c>
      <c r="D215" s="29"/>
      <c r="E215" s="29"/>
    </row>
    <row r="216" spans="1:5" x14ac:dyDescent="0.35">
      <c r="A216" s="27" t="s">
        <v>1161</v>
      </c>
      <c r="B216" s="27" t="s">
        <v>1165</v>
      </c>
      <c r="C216" s="27">
        <f t="shared" si="18"/>
        <v>3.7119999999999891</v>
      </c>
    </row>
    <row r="217" spans="1:5" x14ac:dyDescent="0.35">
      <c r="A217" s="27" t="s">
        <v>1166</v>
      </c>
      <c r="B217" s="27" t="s">
        <v>1167</v>
      </c>
      <c r="C217" s="27">
        <f t="shared" si="18"/>
        <v>7.117999999999995</v>
      </c>
    </row>
    <row r="218" spans="1:5" x14ac:dyDescent="0.35">
      <c r="A218" s="27" t="s">
        <v>1168</v>
      </c>
      <c r="B218" s="27" t="s">
        <v>1169</v>
      </c>
      <c r="C218" s="27">
        <f t="shared" si="18"/>
        <v>-4.5960000000000036</v>
      </c>
    </row>
    <row r="219" spans="1:5" x14ac:dyDescent="0.35">
      <c r="A219" s="27" t="s">
        <v>1170</v>
      </c>
      <c r="B219" s="27" t="s">
        <v>1171</v>
      </c>
      <c r="C219" s="27">
        <f t="shared" si="18"/>
        <v>-1.59699999999998</v>
      </c>
      <c r="D219" s="27" t="s">
        <v>1172</v>
      </c>
    </row>
    <row r="220" spans="1:5" s="35" customFormat="1" x14ac:dyDescent="0.35">
      <c r="A220" s="29" t="s">
        <v>1175</v>
      </c>
      <c r="B220" s="29" t="s">
        <v>1173</v>
      </c>
      <c r="C220" s="29">
        <f t="shared" si="18"/>
        <v>1.1869999999999834</v>
      </c>
      <c r="D220" s="29"/>
      <c r="E220" s="29"/>
    </row>
    <row r="221" spans="1:5" x14ac:dyDescent="0.35">
      <c r="A221" s="27" t="s">
        <v>1176</v>
      </c>
      <c r="B221" s="27" t="s">
        <v>1174</v>
      </c>
      <c r="C221" s="27">
        <f t="shared" si="18"/>
        <v>2.3250000000000171</v>
      </c>
    </row>
    <row r="222" spans="1:5" x14ac:dyDescent="0.35">
      <c r="A222" s="27" t="s">
        <v>1177</v>
      </c>
      <c r="B222" s="27" t="s">
        <v>1180</v>
      </c>
      <c r="C222" s="27">
        <f t="shared" si="18"/>
        <v>17.882999999999981</v>
      </c>
    </row>
    <row r="223" spans="1:5" x14ac:dyDescent="0.35">
      <c r="A223" s="27" t="s">
        <v>1183</v>
      </c>
      <c r="B223" s="27" t="s">
        <v>1184</v>
      </c>
      <c r="C223" s="27">
        <f t="shared" si="18"/>
        <v>-2.4199999999999875</v>
      </c>
    </row>
    <row r="224" spans="1:5" x14ac:dyDescent="0.35">
      <c r="A224" s="27" t="s">
        <v>1185</v>
      </c>
      <c r="B224" s="27" t="s">
        <v>1186</v>
      </c>
      <c r="C224" s="27">
        <f t="shared" si="18"/>
        <v>1.8160000000000025</v>
      </c>
      <c r="D224" s="27" t="s">
        <v>1187</v>
      </c>
    </row>
    <row r="225" spans="1:5" s="35" customFormat="1" x14ac:dyDescent="0.35">
      <c r="A225" s="29" t="s">
        <v>1188</v>
      </c>
      <c r="B225" s="29" t="s">
        <v>1189</v>
      </c>
      <c r="C225" s="29">
        <f t="shared" ref="C225" si="22">B225-B224</f>
        <v>3.4299999999999784</v>
      </c>
      <c r="D225" s="29"/>
      <c r="E225" s="29"/>
    </row>
    <row r="226" spans="1:5" x14ac:dyDescent="0.35">
      <c r="A226" s="27" t="s">
        <v>1192</v>
      </c>
      <c r="B226" s="27" t="s">
        <v>1193</v>
      </c>
      <c r="C226" s="27">
        <f t="shared" si="18"/>
        <v>-0.36999999999997613</v>
      </c>
    </row>
    <row r="227" spans="1:5" x14ac:dyDescent="0.35">
      <c r="A227" s="27" t="s">
        <v>1195</v>
      </c>
      <c r="B227" s="27" t="s">
        <v>1196</v>
      </c>
      <c r="C227" s="27">
        <f t="shared" si="18"/>
        <v>2.289999999999992</v>
      </c>
    </row>
    <row r="228" spans="1:5" x14ac:dyDescent="0.35">
      <c r="A228" s="27" t="s">
        <v>1202</v>
      </c>
      <c r="B228" s="27" t="s">
        <v>1203</v>
      </c>
      <c r="C228" s="27">
        <f t="shared" si="18"/>
        <v>1.289999999999992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0CC60-A1C0-4BCD-B431-0F15697C2108}">
  <dimension ref="A1:D823"/>
  <sheetViews>
    <sheetView zoomScaleNormal="100" workbookViewId="0">
      <pane ySplit="1" topLeftCell="A820" activePane="bottomLeft" state="frozen"/>
      <selection pane="bottomLeft" activeCell="A824" sqref="A824"/>
    </sheetView>
  </sheetViews>
  <sheetFormatPr defaultColWidth="8.88671875" defaultRowHeight="18" x14ac:dyDescent="0.3"/>
  <cols>
    <col min="1" max="1" width="16.33203125" style="4" customWidth="1"/>
    <col min="2" max="2" width="16.5546875" style="4" customWidth="1"/>
    <col min="3" max="3" width="22.44140625" style="4" customWidth="1"/>
    <col min="4" max="4" width="60" style="4" customWidth="1"/>
    <col min="5" max="16384" width="8.88671875" style="3"/>
  </cols>
  <sheetData>
    <row r="1" spans="1:4" ht="21" x14ac:dyDescent="0.3">
      <c r="A1" s="1" t="s">
        <v>2</v>
      </c>
      <c r="B1" s="1" t="s">
        <v>3</v>
      </c>
      <c r="C1" s="1" t="s">
        <v>4</v>
      </c>
      <c r="D1" s="2">
        <v>100</v>
      </c>
    </row>
    <row r="2" spans="1:4" s="6" customFormat="1" x14ac:dyDescent="0.3">
      <c r="A2" s="5" t="s">
        <v>7</v>
      </c>
      <c r="B2" s="5">
        <v>2021</v>
      </c>
      <c r="C2" s="5"/>
      <c r="D2" s="5">
        <v>100</v>
      </c>
    </row>
    <row r="3" spans="1:4" x14ac:dyDescent="0.3">
      <c r="A3" s="4">
        <v>29.46</v>
      </c>
      <c r="B3" s="4">
        <v>31.23</v>
      </c>
      <c r="C3" s="4">
        <f t="shared" ref="C3:C26" si="0">ROUND((B3 - A3) / A3 * 100, 2)</f>
        <v>6.01</v>
      </c>
      <c r="D3" s="4">
        <f t="shared" ref="D3:D26" si="1">ROUND(D2 * (1 + C3 / 100), 2)</f>
        <v>106.01</v>
      </c>
    </row>
    <row r="4" spans="1:4" x14ac:dyDescent="0.3">
      <c r="A4" s="4">
        <v>27.6</v>
      </c>
      <c r="B4" s="4">
        <v>28.9</v>
      </c>
      <c r="C4" s="4">
        <f t="shared" si="0"/>
        <v>4.71</v>
      </c>
      <c r="D4" s="4">
        <f t="shared" si="1"/>
        <v>111</v>
      </c>
    </row>
    <row r="5" spans="1:4" x14ac:dyDescent="0.3">
      <c r="A5" s="4">
        <v>25.86</v>
      </c>
      <c r="B5" s="4">
        <v>26.87</v>
      </c>
      <c r="C5" s="4">
        <f t="shared" si="0"/>
        <v>3.91</v>
      </c>
      <c r="D5" s="4">
        <f t="shared" si="1"/>
        <v>115.34</v>
      </c>
    </row>
    <row r="6" spans="1:4" x14ac:dyDescent="0.3">
      <c r="A6" s="4">
        <v>30.78</v>
      </c>
      <c r="B6" s="4">
        <v>33.44</v>
      </c>
      <c r="C6" s="4">
        <f t="shared" si="0"/>
        <v>8.64</v>
      </c>
      <c r="D6" s="4">
        <f t="shared" si="1"/>
        <v>125.31</v>
      </c>
    </row>
    <row r="7" spans="1:4" x14ac:dyDescent="0.3">
      <c r="A7" s="4">
        <v>38.5</v>
      </c>
      <c r="B7" s="4">
        <v>40.6</v>
      </c>
      <c r="C7" s="4">
        <f t="shared" si="0"/>
        <v>5.45</v>
      </c>
      <c r="D7" s="4">
        <f t="shared" si="1"/>
        <v>132.13999999999999</v>
      </c>
    </row>
    <row r="8" spans="1:4" x14ac:dyDescent="0.3">
      <c r="A8" s="4">
        <v>43.39</v>
      </c>
      <c r="B8" s="4">
        <v>42.11</v>
      </c>
      <c r="C8" s="4">
        <f t="shared" si="0"/>
        <v>-2.95</v>
      </c>
      <c r="D8" s="4">
        <f t="shared" si="1"/>
        <v>128.24</v>
      </c>
    </row>
    <row r="9" spans="1:4" x14ac:dyDescent="0.3">
      <c r="A9" s="4">
        <v>33.25</v>
      </c>
      <c r="B9" s="4">
        <v>32.28</v>
      </c>
      <c r="C9" s="4">
        <f t="shared" si="0"/>
        <v>-2.92</v>
      </c>
      <c r="D9" s="4">
        <f t="shared" si="1"/>
        <v>124.5</v>
      </c>
    </row>
    <row r="10" spans="1:4" x14ac:dyDescent="0.3">
      <c r="A10" s="4">
        <v>32.450000000000003</v>
      </c>
      <c r="B10" s="4">
        <v>35.549999999999997</v>
      </c>
      <c r="C10" s="4">
        <f t="shared" si="0"/>
        <v>9.5500000000000007</v>
      </c>
      <c r="D10" s="4">
        <f t="shared" si="1"/>
        <v>136.38999999999999</v>
      </c>
    </row>
    <row r="11" spans="1:4" x14ac:dyDescent="0.3">
      <c r="A11" s="4">
        <v>37.799999999999997</v>
      </c>
      <c r="B11" s="4">
        <v>38.799999999999997</v>
      </c>
      <c r="C11" s="4">
        <f t="shared" si="0"/>
        <v>2.65</v>
      </c>
      <c r="D11" s="4">
        <f t="shared" si="1"/>
        <v>140</v>
      </c>
    </row>
    <row r="12" spans="1:4" x14ac:dyDescent="0.3">
      <c r="A12" s="4">
        <v>16.8</v>
      </c>
      <c r="B12" s="4">
        <v>23.25</v>
      </c>
      <c r="C12" s="4">
        <f t="shared" si="0"/>
        <v>38.39</v>
      </c>
      <c r="D12" s="4">
        <f t="shared" si="1"/>
        <v>193.75</v>
      </c>
    </row>
    <row r="13" spans="1:4" x14ac:dyDescent="0.3">
      <c r="A13" s="4">
        <v>21.15</v>
      </c>
      <c r="B13" s="4">
        <v>21.4</v>
      </c>
      <c r="C13" s="4">
        <f t="shared" si="0"/>
        <v>1.18</v>
      </c>
      <c r="D13" s="4">
        <f t="shared" si="1"/>
        <v>196.04</v>
      </c>
    </row>
    <row r="14" spans="1:4" x14ac:dyDescent="0.3">
      <c r="A14" s="4">
        <v>24.7</v>
      </c>
      <c r="B14" s="4">
        <v>24.95</v>
      </c>
      <c r="C14" s="4">
        <f t="shared" si="0"/>
        <v>1.01</v>
      </c>
      <c r="D14" s="4">
        <f t="shared" si="1"/>
        <v>198.02</v>
      </c>
    </row>
    <row r="15" spans="1:4" x14ac:dyDescent="0.3">
      <c r="A15" s="4">
        <v>25.3</v>
      </c>
      <c r="B15" s="4">
        <v>25.05</v>
      </c>
      <c r="C15" s="4">
        <f t="shared" si="0"/>
        <v>-0.99</v>
      </c>
      <c r="D15" s="4">
        <f t="shared" si="1"/>
        <v>196.06</v>
      </c>
    </row>
    <row r="16" spans="1:4" x14ac:dyDescent="0.3">
      <c r="A16" s="4">
        <v>27.6</v>
      </c>
      <c r="B16" s="4">
        <v>26.85</v>
      </c>
      <c r="C16" s="4">
        <f t="shared" si="0"/>
        <v>-2.72</v>
      </c>
      <c r="D16" s="4">
        <f t="shared" si="1"/>
        <v>190.73</v>
      </c>
    </row>
    <row r="17" spans="1:4" x14ac:dyDescent="0.3">
      <c r="A17" s="4">
        <v>27.5</v>
      </c>
      <c r="B17" s="4">
        <v>27.9</v>
      </c>
      <c r="C17" s="4">
        <f t="shared" si="0"/>
        <v>1.45</v>
      </c>
      <c r="D17" s="4">
        <f t="shared" si="1"/>
        <v>193.5</v>
      </c>
    </row>
    <row r="18" spans="1:4" x14ac:dyDescent="0.3">
      <c r="A18" s="4">
        <v>27.9</v>
      </c>
      <c r="B18" s="4">
        <v>27.7</v>
      </c>
      <c r="C18" s="4">
        <f t="shared" si="0"/>
        <v>-0.72</v>
      </c>
      <c r="D18" s="4">
        <f t="shared" si="1"/>
        <v>192.11</v>
      </c>
    </row>
    <row r="19" spans="1:4" x14ac:dyDescent="0.3">
      <c r="A19" s="4">
        <v>29.3</v>
      </c>
      <c r="B19" s="4">
        <v>30.3</v>
      </c>
      <c r="C19" s="4">
        <f t="shared" si="0"/>
        <v>3.41</v>
      </c>
      <c r="D19" s="4">
        <f t="shared" si="1"/>
        <v>198.66</v>
      </c>
    </row>
    <row r="20" spans="1:4" x14ac:dyDescent="0.3">
      <c r="A20" s="4">
        <v>32.549999999999997</v>
      </c>
      <c r="B20" s="4">
        <v>32.1</v>
      </c>
      <c r="C20" s="4">
        <f t="shared" si="0"/>
        <v>-1.38</v>
      </c>
      <c r="D20" s="4">
        <f t="shared" si="1"/>
        <v>195.92</v>
      </c>
    </row>
    <row r="21" spans="1:4" x14ac:dyDescent="0.3">
      <c r="A21" s="4">
        <v>30.8</v>
      </c>
      <c r="B21" s="4">
        <v>31</v>
      </c>
      <c r="C21" s="4">
        <f t="shared" si="0"/>
        <v>0.65</v>
      </c>
      <c r="D21" s="4">
        <f t="shared" si="1"/>
        <v>197.19</v>
      </c>
    </row>
    <row r="22" spans="1:4" x14ac:dyDescent="0.3">
      <c r="A22" s="4">
        <v>32.299999999999997</v>
      </c>
      <c r="B22" s="4">
        <v>30.45</v>
      </c>
      <c r="C22" s="4">
        <f t="shared" si="0"/>
        <v>-5.73</v>
      </c>
      <c r="D22" s="4">
        <f t="shared" si="1"/>
        <v>185.89</v>
      </c>
    </row>
    <row r="23" spans="1:4" x14ac:dyDescent="0.3">
      <c r="A23" s="4">
        <v>31.95</v>
      </c>
      <c r="B23" s="4">
        <v>30.6</v>
      </c>
      <c r="C23" s="4">
        <f t="shared" si="0"/>
        <v>-4.2300000000000004</v>
      </c>
      <c r="D23" s="4">
        <f t="shared" si="1"/>
        <v>178.03</v>
      </c>
    </row>
    <row r="24" spans="1:4" x14ac:dyDescent="0.3">
      <c r="A24" s="4">
        <v>32.6</v>
      </c>
      <c r="B24" s="4">
        <v>35.700000000000003</v>
      </c>
      <c r="C24" s="4">
        <f t="shared" si="0"/>
        <v>9.51</v>
      </c>
      <c r="D24" s="4">
        <f t="shared" si="1"/>
        <v>194.96</v>
      </c>
    </row>
    <row r="25" spans="1:4" x14ac:dyDescent="0.3">
      <c r="A25" s="4">
        <v>35.549999999999997</v>
      </c>
      <c r="B25" s="4">
        <v>33</v>
      </c>
      <c r="C25" s="4">
        <f t="shared" si="0"/>
        <v>-7.17</v>
      </c>
      <c r="D25" s="4">
        <f t="shared" si="1"/>
        <v>180.98</v>
      </c>
    </row>
    <row r="26" spans="1:4" x14ac:dyDescent="0.3">
      <c r="A26" s="4">
        <v>30.4</v>
      </c>
      <c r="B26" s="4">
        <v>31.6</v>
      </c>
      <c r="C26" s="4">
        <f t="shared" si="0"/>
        <v>3.95</v>
      </c>
      <c r="D26" s="4">
        <f t="shared" si="1"/>
        <v>188.13</v>
      </c>
    </row>
    <row r="27" spans="1:4" x14ac:dyDescent="0.3">
      <c r="A27" s="4">
        <v>26.9</v>
      </c>
    </row>
    <row r="29" spans="1:4" s="6" customFormat="1" x14ac:dyDescent="0.3">
      <c r="A29" s="5" t="s">
        <v>10</v>
      </c>
      <c r="B29" s="5">
        <v>2021</v>
      </c>
      <c r="C29" s="5"/>
      <c r="D29" s="5">
        <v>100</v>
      </c>
    </row>
    <row r="30" spans="1:4" x14ac:dyDescent="0.3">
      <c r="A30" s="4">
        <v>20.100000000000001</v>
      </c>
      <c r="B30" s="4">
        <v>19.899999999999999</v>
      </c>
      <c r="C30" s="4">
        <f t="shared" ref="C30:C41" si="2">ROUND((B30 - A30) / A30 * 100, 2)</f>
        <v>-1</v>
      </c>
      <c r="D30" s="4">
        <f t="shared" ref="D30:D41" si="3">ROUND(D29 * (1 + C30 / 100), 2)</f>
        <v>99</v>
      </c>
    </row>
    <row r="31" spans="1:4" x14ac:dyDescent="0.3">
      <c r="A31" s="4">
        <v>20.7</v>
      </c>
      <c r="B31" s="4">
        <v>19.079999999999998</v>
      </c>
      <c r="C31" s="4">
        <f t="shared" si="2"/>
        <v>-7.83</v>
      </c>
      <c r="D31" s="4">
        <f t="shared" si="3"/>
        <v>91.25</v>
      </c>
    </row>
    <row r="32" spans="1:4" x14ac:dyDescent="0.3">
      <c r="A32" s="4">
        <v>21.65</v>
      </c>
      <c r="B32" s="4">
        <v>20.9</v>
      </c>
      <c r="C32" s="4">
        <f t="shared" si="2"/>
        <v>-3.46</v>
      </c>
      <c r="D32" s="4">
        <f t="shared" si="3"/>
        <v>88.09</v>
      </c>
    </row>
    <row r="33" spans="1:4" x14ac:dyDescent="0.3">
      <c r="A33" s="4">
        <v>20.7</v>
      </c>
      <c r="B33" s="4">
        <v>22.8</v>
      </c>
      <c r="C33" s="4">
        <f t="shared" si="2"/>
        <v>10.14</v>
      </c>
      <c r="D33" s="4">
        <f t="shared" si="3"/>
        <v>97.02</v>
      </c>
    </row>
    <row r="34" spans="1:4" x14ac:dyDescent="0.3">
      <c r="A34" s="4">
        <v>21.2</v>
      </c>
      <c r="B34" s="4">
        <v>20.67</v>
      </c>
      <c r="C34" s="4">
        <f t="shared" si="2"/>
        <v>-2.5</v>
      </c>
      <c r="D34" s="4">
        <f t="shared" si="3"/>
        <v>94.59</v>
      </c>
    </row>
    <row r="35" spans="1:4" x14ac:dyDescent="0.3">
      <c r="A35" s="4">
        <v>21.4</v>
      </c>
      <c r="B35" s="4">
        <v>20.83</v>
      </c>
      <c r="C35" s="4">
        <f t="shared" si="2"/>
        <v>-2.66</v>
      </c>
      <c r="D35" s="4">
        <f t="shared" si="3"/>
        <v>92.07</v>
      </c>
    </row>
    <row r="36" spans="1:4" x14ac:dyDescent="0.3">
      <c r="A36" s="4">
        <v>19.7</v>
      </c>
      <c r="B36" s="4">
        <v>22.3</v>
      </c>
      <c r="C36" s="4">
        <f t="shared" si="2"/>
        <v>13.2</v>
      </c>
      <c r="D36" s="4">
        <f t="shared" si="3"/>
        <v>104.22</v>
      </c>
    </row>
    <row r="37" spans="1:4" x14ac:dyDescent="0.3">
      <c r="A37" s="4">
        <v>23.4</v>
      </c>
      <c r="B37" s="4">
        <v>24.85</v>
      </c>
      <c r="C37" s="4">
        <f t="shared" si="2"/>
        <v>6.2</v>
      </c>
      <c r="D37" s="4">
        <f t="shared" si="3"/>
        <v>110.68</v>
      </c>
    </row>
    <row r="38" spans="1:4" x14ac:dyDescent="0.3">
      <c r="A38" s="4">
        <v>26.3</v>
      </c>
      <c r="B38" s="4">
        <v>27.6</v>
      </c>
      <c r="C38" s="4">
        <f t="shared" si="2"/>
        <v>4.9400000000000004</v>
      </c>
      <c r="D38" s="4">
        <f t="shared" si="3"/>
        <v>116.15</v>
      </c>
    </row>
    <row r="39" spans="1:4" x14ac:dyDescent="0.3">
      <c r="A39" s="4">
        <v>26.6</v>
      </c>
      <c r="B39" s="4">
        <v>27.56</v>
      </c>
      <c r="C39" s="4">
        <f t="shared" si="2"/>
        <v>3.61</v>
      </c>
      <c r="D39" s="4">
        <f t="shared" si="3"/>
        <v>120.34</v>
      </c>
    </row>
    <row r="40" spans="1:4" x14ac:dyDescent="0.3">
      <c r="A40" s="4">
        <v>30.1</v>
      </c>
      <c r="B40" s="4">
        <v>33.79</v>
      </c>
      <c r="C40" s="4">
        <f t="shared" si="2"/>
        <v>12.26</v>
      </c>
      <c r="D40" s="4">
        <f t="shared" si="3"/>
        <v>135.09</v>
      </c>
    </row>
    <row r="41" spans="1:4" x14ac:dyDescent="0.3">
      <c r="A41" s="4">
        <v>50</v>
      </c>
      <c r="B41" s="4">
        <v>57.33</v>
      </c>
      <c r="C41" s="4">
        <f t="shared" si="2"/>
        <v>14.66</v>
      </c>
      <c r="D41" s="4">
        <f t="shared" si="3"/>
        <v>154.88999999999999</v>
      </c>
    </row>
    <row r="43" spans="1:4" s="6" customFormat="1" x14ac:dyDescent="0.3">
      <c r="A43" s="5" t="s">
        <v>11</v>
      </c>
      <c r="B43" s="5">
        <v>2020</v>
      </c>
      <c r="C43" s="5"/>
      <c r="D43" s="5">
        <v>100</v>
      </c>
    </row>
    <row r="44" spans="1:4" x14ac:dyDescent="0.3">
      <c r="A44" s="4">
        <v>7.4</v>
      </c>
      <c r="B44" s="4">
        <v>7.67</v>
      </c>
      <c r="C44" s="4">
        <f t="shared" ref="C44:C90" si="4">ROUND((B44 - A44) / A44 * 100, 2)</f>
        <v>3.65</v>
      </c>
      <c r="D44" s="4">
        <f t="shared" ref="D44:D90" si="5">ROUND(D43 * (1 + C44 / 100), 2)</f>
        <v>103.65</v>
      </c>
    </row>
    <row r="45" spans="1:4" x14ac:dyDescent="0.3">
      <c r="A45" s="4">
        <v>7.23</v>
      </c>
      <c r="B45" s="4">
        <v>7.06</v>
      </c>
      <c r="C45" s="4">
        <f t="shared" si="4"/>
        <v>-2.35</v>
      </c>
      <c r="D45" s="4">
        <f t="shared" si="5"/>
        <v>101.21</v>
      </c>
    </row>
    <row r="46" spans="1:4" x14ac:dyDescent="0.3">
      <c r="A46" s="4">
        <v>7.2</v>
      </c>
      <c r="B46" s="4">
        <v>7.12</v>
      </c>
      <c r="C46" s="4">
        <f t="shared" si="4"/>
        <v>-1.1100000000000001</v>
      </c>
      <c r="D46" s="4">
        <f t="shared" si="5"/>
        <v>100.09</v>
      </c>
    </row>
    <row r="47" spans="1:4" x14ac:dyDescent="0.3">
      <c r="A47" s="4">
        <v>7.2</v>
      </c>
      <c r="B47" s="4">
        <v>6.79</v>
      </c>
      <c r="C47" s="4">
        <f t="shared" si="4"/>
        <v>-5.69</v>
      </c>
      <c r="D47" s="4">
        <f t="shared" si="5"/>
        <v>94.39</v>
      </c>
    </row>
    <row r="48" spans="1:4" x14ac:dyDescent="0.3">
      <c r="A48" s="4">
        <v>6.4</v>
      </c>
      <c r="B48" s="4">
        <v>7.15</v>
      </c>
      <c r="C48" s="4">
        <f t="shared" si="4"/>
        <v>11.72</v>
      </c>
      <c r="D48" s="4">
        <f t="shared" si="5"/>
        <v>105.45</v>
      </c>
    </row>
    <row r="49" spans="1:4" x14ac:dyDescent="0.3">
      <c r="A49" s="4">
        <v>7.4</v>
      </c>
      <c r="B49" s="4">
        <v>11.7</v>
      </c>
      <c r="C49" s="4">
        <f t="shared" si="4"/>
        <v>58.11</v>
      </c>
      <c r="D49" s="4">
        <f t="shared" si="5"/>
        <v>166.73</v>
      </c>
    </row>
    <row r="50" spans="1:4" x14ac:dyDescent="0.3">
      <c r="A50" s="4">
        <v>10.78</v>
      </c>
      <c r="B50" s="4">
        <v>11.25</v>
      </c>
      <c r="C50" s="4">
        <f t="shared" si="4"/>
        <v>4.3600000000000003</v>
      </c>
      <c r="D50" s="4">
        <f t="shared" si="5"/>
        <v>174</v>
      </c>
    </row>
    <row r="51" spans="1:4" x14ac:dyDescent="0.3">
      <c r="A51" s="4">
        <v>10.6</v>
      </c>
      <c r="B51" s="4">
        <v>12.2</v>
      </c>
      <c r="C51" s="4">
        <f t="shared" si="4"/>
        <v>15.09</v>
      </c>
      <c r="D51" s="4">
        <f t="shared" si="5"/>
        <v>200.26</v>
      </c>
    </row>
    <row r="52" spans="1:4" x14ac:dyDescent="0.3">
      <c r="A52" s="4">
        <v>11.25</v>
      </c>
      <c r="B52" s="4">
        <v>12.2</v>
      </c>
      <c r="C52" s="4">
        <f t="shared" si="4"/>
        <v>8.44</v>
      </c>
      <c r="D52" s="4">
        <f t="shared" si="5"/>
        <v>217.16</v>
      </c>
    </row>
    <row r="53" spans="1:4" x14ac:dyDescent="0.3">
      <c r="A53" s="4">
        <v>13.5</v>
      </c>
      <c r="B53" s="4">
        <v>14.15</v>
      </c>
      <c r="C53" s="4">
        <f t="shared" si="4"/>
        <v>4.8099999999999996</v>
      </c>
      <c r="D53" s="4">
        <f t="shared" si="5"/>
        <v>227.61</v>
      </c>
    </row>
    <row r="54" spans="1:4" x14ac:dyDescent="0.3">
      <c r="A54" s="4">
        <v>14.4</v>
      </c>
      <c r="B54" s="4">
        <v>14.3</v>
      </c>
      <c r="C54" s="4">
        <f t="shared" si="4"/>
        <v>-0.69</v>
      </c>
      <c r="D54" s="4">
        <f t="shared" si="5"/>
        <v>226.04</v>
      </c>
    </row>
    <row r="55" spans="1:4" x14ac:dyDescent="0.3">
      <c r="A55" s="4">
        <v>15.15</v>
      </c>
      <c r="B55" s="4">
        <v>16.5</v>
      </c>
      <c r="C55" s="4">
        <f t="shared" si="4"/>
        <v>8.91</v>
      </c>
      <c r="D55" s="4">
        <f t="shared" si="5"/>
        <v>246.18</v>
      </c>
    </row>
    <row r="56" spans="1:4" x14ac:dyDescent="0.3">
      <c r="A56" s="4">
        <v>17.5</v>
      </c>
      <c r="B56" s="4">
        <v>17.96</v>
      </c>
      <c r="C56" s="4">
        <f t="shared" si="4"/>
        <v>2.63</v>
      </c>
      <c r="D56" s="4">
        <f t="shared" si="5"/>
        <v>252.65</v>
      </c>
    </row>
    <row r="57" spans="1:4" x14ac:dyDescent="0.3">
      <c r="A57" s="4">
        <v>18.5</v>
      </c>
      <c r="B57" s="4">
        <v>20.9</v>
      </c>
      <c r="C57" s="4">
        <f t="shared" si="4"/>
        <v>12.97</v>
      </c>
      <c r="D57" s="4">
        <f t="shared" si="5"/>
        <v>285.42</v>
      </c>
    </row>
    <row r="58" spans="1:4" x14ac:dyDescent="0.3">
      <c r="A58" s="4">
        <v>25.65</v>
      </c>
      <c r="B58" s="4">
        <v>23.7</v>
      </c>
      <c r="C58" s="4">
        <f t="shared" si="4"/>
        <v>-7.6</v>
      </c>
      <c r="D58" s="4">
        <f t="shared" si="5"/>
        <v>263.73</v>
      </c>
    </row>
    <row r="59" spans="1:4" x14ac:dyDescent="0.3">
      <c r="A59" s="4">
        <v>24.9</v>
      </c>
      <c r="B59" s="4">
        <v>24.44</v>
      </c>
      <c r="C59" s="4">
        <f t="shared" si="4"/>
        <v>-1.85</v>
      </c>
      <c r="D59" s="4">
        <f t="shared" si="5"/>
        <v>258.85000000000002</v>
      </c>
    </row>
    <row r="60" spans="1:4" x14ac:dyDescent="0.3">
      <c r="A60" s="4">
        <v>27</v>
      </c>
      <c r="B60" s="4">
        <v>29.04</v>
      </c>
      <c r="C60" s="4">
        <f t="shared" si="4"/>
        <v>7.56</v>
      </c>
      <c r="D60" s="4">
        <f t="shared" si="5"/>
        <v>278.42</v>
      </c>
    </row>
    <row r="61" spans="1:4" x14ac:dyDescent="0.3">
      <c r="A61" s="4">
        <v>29.7</v>
      </c>
      <c r="B61" s="4">
        <v>29.56</v>
      </c>
      <c r="C61" s="4">
        <f t="shared" si="4"/>
        <v>-0.47</v>
      </c>
      <c r="D61" s="4">
        <f t="shared" si="5"/>
        <v>277.11</v>
      </c>
    </row>
    <row r="62" spans="1:4" x14ac:dyDescent="0.3">
      <c r="A62" s="4">
        <v>31</v>
      </c>
      <c r="B62" s="4">
        <v>33.200000000000003</v>
      </c>
      <c r="C62" s="4">
        <f t="shared" si="4"/>
        <v>7.1</v>
      </c>
      <c r="D62" s="4">
        <f t="shared" si="5"/>
        <v>296.77999999999997</v>
      </c>
    </row>
    <row r="63" spans="1:4" x14ac:dyDescent="0.3">
      <c r="A63" s="4">
        <v>36.6</v>
      </c>
      <c r="B63" s="4">
        <v>39.9</v>
      </c>
      <c r="C63" s="4">
        <f t="shared" si="4"/>
        <v>9.02</v>
      </c>
      <c r="D63" s="4">
        <f t="shared" si="5"/>
        <v>323.55</v>
      </c>
    </row>
    <row r="64" spans="1:4" x14ac:dyDescent="0.3">
      <c r="A64" s="4">
        <v>38.4</v>
      </c>
      <c r="B64" s="4">
        <v>41.2</v>
      </c>
      <c r="C64" s="4">
        <f t="shared" si="4"/>
        <v>7.29</v>
      </c>
      <c r="D64" s="4">
        <f t="shared" si="5"/>
        <v>347.14</v>
      </c>
    </row>
    <row r="65" spans="1:4" x14ac:dyDescent="0.3">
      <c r="A65" s="4">
        <v>44.2</v>
      </c>
      <c r="B65" s="4">
        <v>47.5</v>
      </c>
      <c r="C65" s="4">
        <f t="shared" si="4"/>
        <v>7.47</v>
      </c>
      <c r="D65" s="4">
        <f t="shared" si="5"/>
        <v>373.07</v>
      </c>
    </row>
    <row r="66" spans="1:4" x14ac:dyDescent="0.3">
      <c r="A66" s="4">
        <v>48.8</v>
      </c>
      <c r="B66" s="4">
        <v>61.5</v>
      </c>
      <c r="C66" s="4">
        <f t="shared" si="4"/>
        <v>26.02</v>
      </c>
      <c r="D66" s="4">
        <f t="shared" si="5"/>
        <v>470.14</v>
      </c>
    </row>
    <row r="67" spans="1:4" x14ac:dyDescent="0.3">
      <c r="A67" s="4">
        <v>60.7</v>
      </c>
      <c r="B67" s="4">
        <v>63.9</v>
      </c>
      <c r="C67" s="4">
        <f t="shared" si="4"/>
        <v>5.27</v>
      </c>
      <c r="D67" s="4">
        <f t="shared" si="5"/>
        <v>494.92</v>
      </c>
    </row>
    <row r="68" spans="1:4" x14ac:dyDescent="0.3">
      <c r="A68" s="4">
        <v>71.099999999999994</v>
      </c>
      <c r="B68" s="4">
        <v>69.8</v>
      </c>
      <c r="C68" s="4">
        <f t="shared" si="4"/>
        <v>-1.83</v>
      </c>
      <c r="D68" s="4">
        <f t="shared" si="5"/>
        <v>485.86</v>
      </c>
    </row>
    <row r="69" spans="1:4" x14ac:dyDescent="0.3">
      <c r="A69" s="4">
        <v>62.3</v>
      </c>
      <c r="B69" s="4">
        <v>65.900000000000006</v>
      </c>
      <c r="C69" s="4">
        <f t="shared" si="4"/>
        <v>5.78</v>
      </c>
      <c r="D69" s="4">
        <f t="shared" si="5"/>
        <v>513.94000000000005</v>
      </c>
    </row>
    <row r="70" spans="1:4" x14ac:dyDescent="0.3">
      <c r="A70" s="4">
        <v>74.599999999999994</v>
      </c>
      <c r="B70" s="4">
        <v>75.599999999999994</v>
      </c>
      <c r="C70" s="4">
        <f t="shared" si="4"/>
        <v>1.34</v>
      </c>
      <c r="D70" s="4">
        <f t="shared" si="5"/>
        <v>520.83000000000004</v>
      </c>
    </row>
    <row r="71" spans="1:4" x14ac:dyDescent="0.3">
      <c r="A71" s="4">
        <v>79.8</v>
      </c>
      <c r="B71" s="4">
        <v>94.1</v>
      </c>
      <c r="C71" s="4">
        <f t="shared" si="4"/>
        <v>17.920000000000002</v>
      </c>
      <c r="D71" s="4">
        <f t="shared" si="5"/>
        <v>614.16</v>
      </c>
    </row>
    <row r="72" spans="1:4" x14ac:dyDescent="0.3">
      <c r="A72" s="4">
        <v>87</v>
      </c>
      <c r="B72" s="4">
        <v>97</v>
      </c>
      <c r="C72" s="4">
        <f t="shared" si="4"/>
        <v>11.49</v>
      </c>
      <c r="D72" s="4">
        <f t="shared" si="5"/>
        <v>684.73</v>
      </c>
    </row>
    <row r="73" spans="1:4" x14ac:dyDescent="0.3">
      <c r="A73" s="4">
        <v>95.4</v>
      </c>
      <c r="B73" s="4">
        <v>96.4</v>
      </c>
      <c r="C73" s="4">
        <f t="shared" si="4"/>
        <v>1.05</v>
      </c>
      <c r="D73" s="4">
        <f t="shared" si="5"/>
        <v>691.92</v>
      </c>
    </row>
    <row r="74" spans="1:4" x14ac:dyDescent="0.3">
      <c r="A74" s="4">
        <v>103</v>
      </c>
      <c r="B74" s="4">
        <v>104.9</v>
      </c>
      <c r="C74" s="4">
        <f t="shared" si="4"/>
        <v>1.84</v>
      </c>
      <c r="D74" s="4">
        <f t="shared" si="5"/>
        <v>704.65</v>
      </c>
    </row>
    <row r="75" spans="1:4" x14ac:dyDescent="0.3">
      <c r="A75" s="4">
        <v>86.9</v>
      </c>
      <c r="B75" s="4">
        <v>85.11</v>
      </c>
      <c r="C75" s="4">
        <f t="shared" si="4"/>
        <v>-2.06</v>
      </c>
      <c r="D75" s="4">
        <f t="shared" si="5"/>
        <v>690.13</v>
      </c>
    </row>
    <row r="76" spans="1:4" x14ac:dyDescent="0.3">
      <c r="A76" s="4">
        <v>72</v>
      </c>
      <c r="B76" s="4">
        <v>64.5</v>
      </c>
      <c r="C76" s="4">
        <f t="shared" si="4"/>
        <v>-10.42</v>
      </c>
      <c r="D76" s="4">
        <f t="shared" si="5"/>
        <v>618.22</v>
      </c>
    </row>
    <row r="77" spans="1:4" x14ac:dyDescent="0.3">
      <c r="A77" s="4">
        <v>57.8</v>
      </c>
      <c r="B77" s="4">
        <v>53.8</v>
      </c>
      <c r="C77" s="4">
        <f t="shared" si="4"/>
        <v>-6.92</v>
      </c>
      <c r="D77" s="4">
        <f t="shared" si="5"/>
        <v>575.44000000000005</v>
      </c>
    </row>
    <row r="78" spans="1:4" x14ac:dyDescent="0.3">
      <c r="A78" s="4">
        <v>50.7</v>
      </c>
      <c r="B78" s="4">
        <v>61.1</v>
      </c>
      <c r="C78" s="4">
        <f t="shared" si="4"/>
        <v>20.51</v>
      </c>
      <c r="D78" s="4">
        <f t="shared" si="5"/>
        <v>693.46</v>
      </c>
    </row>
    <row r="79" spans="1:4" x14ac:dyDescent="0.3">
      <c r="A79" s="4">
        <v>59.4</v>
      </c>
      <c r="B79" s="4">
        <v>62.7</v>
      </c>
      <c r="C79" s="4">
        <f t="shared" si="4"/>
        <v>5.56</v>
      </c>
      <c r="D79" s="4">
        <f t="shared" si="5"/>
        <v>732.02</v>
      </c>
    </row>
    <row r="80" spans="1:4" x14ac:dyDescent="0.3">
      <c r="A80" s="4">
        <v>65.5</v>
      </c>
      <c r="B80" s="4">
        <v>67.849999999999994</v>
      </c>
      <c r="C80" s="4">
        <f t="shared" si="4"/>
        <v>3.59</v>
      </c>
      <c r="D80" s="4">
        <f t="shared" si="5"/>
        <v>758.3</v>
      </c>
    </row>
    <row r="81" spans="1:4" x14ac:dyDescent="0.3">
      <c r="A81" s="4">
        <v>70.099999999999994</v>
      </c>
      <c r="B81" s="4">
        <v>69.92</v>
      </c>
      <c r="C81" s="4">
        <f t="shared" si="4"/>
        <v>-0.26</v>
      </c>
      <c r="D81" s="4">
        <f t="shared" si="5"/>
        <v>756.33</v>
      </c>
    </row>
    <row r="82" spans="1:4" x14ac:dyDescent="0.3">
      <c r="A82" s="4">
        <v>73</v>
      </c>
      <c r="B82" s="4">
        <v>85.9</v>
      </c>
      <c r="C82" s="4">
        <f t="shared" si="4"/>
        <v>17.670000000000002</v>
      </c>
      <c r="D82" s="4">
        <f t="shared" si="5"/>
        <v>889.97</v>
      </c>
    </row>
    <row r="83" spans="1:4" x14ac:dyDescent="0.3">
      <c r="A83" s="4">
        <v>85.2</v>
      </c>
      <c r="B83" s="4">
        <v>88.1</v>
      </c>
      <c r="C83" s="4">
        <f t="shared" si="4"/>
        <v>3.4</v>
      </c>
      <c r="D83" s="4">
        <f t="shared" si="5"/>
        <v>920.23</v>
      </c>
    </row>
    <row r="84" spans="1:4" x14ac:dyDescent="0.3">
      <c r="A84" s="4">
        <v>88.1</v>
      </c>
      <c r="B84" s="4">
        <v>93</v>
      </c>
      <c r="C84" s="4">
        <f t="shared" si="4"/>
        <v>5.56</v>
      </c>
      <c r="D84" s="4">
        <f t="shared" si="5"/>
        <v>971.39</v>
      </c>
    </row>
    <row r="85" spans="1:4" x14ac:dyDescent="0.3">
      <c r="A85" s="4">
        <v>89.8</v>
      </c>
      <c r="B85" s="4">
        <v>99</v>
      </c>
      <c r="C85" s="4">
        <f t="shared" si="4"/>
        <v>10.24</v>
      </c>
      <c r="D85" s="4">
        <f t="shared" si="5"/>
        <v>1070.8599999999999</v>
      </c>
    </row>
    <row r="86" spans="1:4" x14ac:dyDescent="0.3">
      <c r="A86" s="4">
        <v>101.5</v>
      </c>
      <c r="B86" s="4">
        <v>119.35</v>
      </c>
      <c r="C86" s="4">
        <f t="shared" si="4"/>
        <v>17.59</v>
      </c>
      <c r="D86" s="4">
        <f t="shared" si="5"/>
        <v>1259.22</v>
      </c>
    </row>
    <row r="87" spans="1:4" x14ac:dyDescent="0.3">
      <c r="A87" s="4">
        <v>120</v>
      </c>
      <c r="B87" s="4">
        <v>120.5</v>
      </c>
      <c r="C87" s="4">
        <f t="shared" si="4"/>
        <v>0.42</v>
      </c>
      <c r="D87" s="4">
        <f t="shared" si="5"/>
        <v>1264.51</v>
      </c>
    </row>
    <row r="88" spans="1:4" x14ac:dyDescent="0.3">
      <c r="A88" s="4">
        <v>122.5</v>
      </c>
      <c r="B88" s="4">
        <v>121.2</v>
      </c>
      <c r="C88" s="4">
        <f t="shared" si="4"/>
        <v>-1.06</v>
      </c>
      <c r="D88" s="4">
        <f t="shared" si="5"/>
        <v>1251.1099999999999</v>
      </c>
    </row>
    <row r="89" spans="1:4" x14ac:dyDescent="0.3">
      <c r="A89" s="4">
        <v>110</v>
      </c>
      <c r="B89" s="4">
        <v>114</v>
      </c>
      <c r="C89" s="4">
        <f t="shared" si="4"/>
        <v>3.64</v>
      </c>
      <c r="D89" s="4">
        <f t="shared" si="5"/>
        <v>1296.6500000000001</v>
      </c>
    </row>
    <row r="90" spans="1:4" x14ac:dyDescent="0.3">
      <c r="A90" s="4">
        <v>111.5</v>
      </c>
      <c r="B90" s="4">
        <v>117</v>
      </c>
      <c r="C90" s="4">
        <f t="shared" si="4"/>
        <v>4.93</v>
      </c>
      <c r="D90" s="4">
        <f t="shared" si="5"/>
        <v>1360.57</v>
      </c>
    </row>
    <row r="93" spans="1:4" s="6" customFormat="1" x14ac:dyDescent="0.3">
      <c r="A93" s="5" t="s">
        <v>12</v>
      </c>
      <c r="B93" s="5">
        <v>2020</v>
      </c>
      <c r="C93" s="5"/>
      <c r="D93" s="5">
        <v>100</v>
      </c>
    </row>
    <row r="94" spans="1:4" x14ac:dyDescent="0.3">
      <c r="A94" s="4">
        <v>6.95</v>
      </c>
      <c r="B94" s="4">
        <v>7.7</v>
      </c>
      <c r="C94" s="4">
        <f t="shared" ref="C94:C116" si="6">ROUND((B94 - A94) / A94 * 100, 2)</f>
        <v>10.79</v>
      </c>
      <c r="D94" s="4">
        <f t="shared" ref="D94:D116" si="7">ROUND(D93 * (1 + C94 / 100), 2)</f>
        <v>110.79</v>
      </c>
    </row>
    <row r="95" spans="1:4" x14ac:dyDescent="0.3">
      <c r="A95" s="4">
        <v>7.16</v>
      </c>
      <c r="B95" s="4">
        <v>7.77</v>
      </c>
      <c r="C95" s="4">
        <f t="shared" si="6"/>
        <v>8.52</v>
      </c>
      <c r="D95" s="4">
        <f t="shared" si="7"/>
        <v>120.23</v>
      </c>
    </row>
    <row r="96" spans="1:4" x14ac:dyDescent="0.3">
      <c r="A96" s="4">
        <v>8.07</v>
      </c>
      <c r="B96" s="4">
        <v>8.61</v>
      </c>
      <c r="C96" s="4">
        <f t="shared" si="6"/>
        <v>6.69</v>
      </c>
      <c r="D96" s="4">
        <f t="shared" si="7"/>
        <v>128.27000000000001</v>
      </c>
    </row>
    <row r="97" spans="1:4" x14ac:dyDescent="0.3">
      <c r="A97" s="4">
        <v>9.07</v>
      </c>
      <c r="B97" s="4">
        <v>8.41</v>
      </c>
      <c r="C97" s="4">
        <f t="shared" si="6"/>
        <v>-7.28</v>
      </c>
      <c r="D97" s="4">
        <f t="shared" si="7"/>
        <v>118.93</v>
      </c>
    </row>
    <row r="98" spans="1:4" x14ac:dyDescent="0.3">
      <c r="A98" s="4">
        <v>8.9</v>
      </c>
      <c r="B98" s="4">
        <v>8.77</v>
      </c>
      <c r="C98" s="4">
        <f t="shared" si="6"/>
        <v>-1.46</v>
      </c>
      <c r="D98" s="4">
        <f t="shared" si="7"/>
        <v>117.19</v>
      </c>
    </row>
    <row r="99" spans="1:4" x14ac:dyDescent="0.3">
      <c r="A99" s="4">
        <v>8.6</v>
      </c>
      <c r="B99" s="4">
        <v>8.77</v>
      </c>
      <c r="C99" s="4">
        <f t="shared" si="6"/>
        <v>1.98</v>
      </c>
      <c r="D99" s="4">
        <f t="shared" si="7"/>
        <v>119.51</v>
      </c>
    </row>
    <row r="100" spans="1:4" x14ac:dyDescent="0.3">
      <c r="A100" s="4">
        <v>9.5</v>
      </c>
      <c r="B100" s="4">
        <v>10</v>
      </c>
      <c r="C100" s="4">
        <f t="shared" si="6"/>
        <v>5.26</v>
      </c>
      <c r="D100" s="4">
        <f t="shared" si="7"/>
        <v>125.8</v>
      </c>
    </row>
    <row r="101" spans="1:4" x14ac:dyDescent="0.3">
      <c r="A101" s="4">
        <v>10.3</v>
      </c>
      <c r="B101" s="4">
        <v>15.4</v>
      </c>
      <c r="C101" s="4">
        <f t="shared" si="6"/>
        <v>49.51</v>
      </c>
      <c r="D101" s="4">
        <f t="shared" si="7"/>
        <v>188.08</v>
      </c>
    </row>
    <row r="102" spans="1:4" x14ac:dyDescent="0.3">
      <c r="A102" s="4">
        <v>15.1</v>
      </c>
      <c r="B102" s="4">
        <v>14.89</v>
      </c>
      <c r="C102" s="4">
        <f t="shared" si="6"/>
        <v>-1.39</v>
      </c>
      <c r="D102" s="4">
        <f t="shared" si="7"/>
        <v>185.47</v>
      </c>
    </row>
    <row r="103" spans="1:4" x14ac:dyDescent="0.3">
      <c r="A103" s="4">
        <v>15.5</v>
      </c>
      <c r="B103" s="4">
        <v>22.9</v>
      </c>
      <c r="C103" s="4">
        <f t="shared" si="6"/>
        <v>47.74</v>
      </c>
      <c r="D103" s="4">
        <f t="shared" si="7"/>
        <v>274.01</v>
      </c>
    </row>
    <row r="104" spans="1:4" x14ac:dyDescent="0.3">
      <c r="A104" s="4">
        <v>24.4</v>
      </c>
      <c r="B104" s="4">
        <v>27.65</v>
      </c>
      <c r="C104" s="4">
        <f t="shared" si="6"/>
        <v>13.32</v>
      </c>
      <c r="D104" s="4">
        <f t="shared" si="7"/>
        <v>310.51</v>
      </c>
    </row>
    <row r="105" spans="1:4" x14ac:dyDescent="0.3">
      <c r="A105" s="4">
        <v>28.8</v>
      </c>
      <c r="B105" s="4">
        <v>29.8</v>
      </c>
      <c r="C105" s="4">
        <f t="shared" si="6"/>
        <v>3.47</v>
      </c>
      <c r="D105" s="4">
        <f t="shared" si="7"/>
        <v>321.27999999999997</v>
      </c>
    </row>
    <row r="106" spans="1:4" x14ac:dyDescent="0.3">
      <c r="A106" s="4">
        <v>29.4</v>
      </c>
      <c r="B106" s="4">
        <v>28.09</v>
      </c>
      <c r="C106" s="4">
        <f t="shared" si="6"/>
        <v>-4.46</v>
      </c>
      <c r="D106" s="4">
        <f t="shared" si="7"/>
        <v>306.95</v>
      </c>
    </row>
    <row r="107" spans="1:4" x14ac:dyDescent="0.3">
      <c r="A107" s="4">
        <v>17.27</v>
      </c>
      <c r="B107" s="4">
        <v>16.66</v>
      </c>
      <c r="C107" s="4">
        <f t="shared" si="6"/>
        <v>-3.53</v>
      </c>
      <c r="D107" s="4">
        <f t="shared" si="7"/>
        <v>296.11</v>
      </c>
    </row>
    <row r="108" spans="1:4" x14ac:dyDescent="0.3">
      <c r="A108" s="4">
        <v>17.37</v>
      </c>
      <c r="B108" s="4">
        <v>16.8</v>
      </c>
      <c r="C108" s="4">
        <f t="shared" si="6"/>
        <v>-3.28</v>
      </c>
      <c r="D108" s="4">
        <f t="shared" si="7"/>
        <v>286.39999999999998</v>
      </c>
    </row>
    <row r="109" spans="1:4" x14ac:dyDescent="0.3">
      <c r="A109" s="4">
        <v>12.8</v>
      </c>
      <c r="B109" s="4">
        <v>13</v>
      </c>
      <c r="C109" s="4">
        <f t="shared" si="6"/>
        <v>1.56</v>
      </c>
      <c r="D109" s="4">
        <f t="shared" si="7"/>
        <v>290.87</v>
      </c>
    </row>
    <row r="110" spans="1:4" x14ac:dyDescent="0.3">
      <c r="A110" s="4">
        <v>12.3</v>
      </c>
      <c r="B110" s="4">
        <v>11.97</v>
      </c>
      <c r="C110" s="4">
        <f t="shared" si="6"/>
        <v>-2.68</v>
      </c>
      <c r="D110" s="4">
        <f t="shared" si="7"/>
        <v>283.07</v>
      </c>
    </row>
    <row r="111" spans="1:4" x14ac:dyDescent="0.3">
      <c r="A111" s="4">
        <v>12.3</v>
      </c>
      <c r="B111" s="4">
        <v>14</v>
      </c>
      <c r="C111" s="4">
        <f t="shared" si="6"/>
        <v>13.82</v>
      </c>
      <c r="D111" s="4">
        <f t="shared" si="7"/>
        <v>322.19</v>
      </c>
    </row>
    <row r="112" spans="1:4" x14ac:dyDescent="0.3">
      <c r="A112" s="4">
        <v>13.9</v>
      </c>
      <c r="B112" s="4">
        <v>14.05</v>
      </c>
      <c r="C112" s="4">
        <f t="shared" si="6"/>
        <v>1.08</v>
      </c>
      <c r="D112" s="4">
        <f t="shared" si="7"/>
        <v>325.67</v>
      </c>
    </row>
    <row r="113" spans="1:4" x14ac:dyDescent="0.3">
      <c r="A113" s="4">
        <v>14.9</v>
      </c>
      <c r="B113" s="4">
        <v>14.87</v>
      </c>
      <c r="C113" s="4">
        <f t="shared" si="6"/>
        <v>-0.2</v>
      </c>
      <c r="D113" s="4">
        <f t="shared" si="7"/>
        <v>325.02</v>
      </c>
    </row>
    <row r="114" spans="1:4" x14ac:dyDescent="0.3">
      <c r="A114" s="4">
        <v>16.600000000000001</v>
      </c>
      <c r="B114" s="4">
        <v>15</v>
      </c>
      <c r="C114" s="4">
        <f t="shared" si="6"/>
        <v>-9.64</v>
      </c>
      <c r="D114" s="4">
        <f t="shared" si="7"/>
        <v>293.69</v>
      </c>
    </row>
    <row r="115" spans="1:4" x14ac:dyDescent="0.3">
      <c r="A115" s="4">
        <v>16.2</v>
      </c>
      <c r="B115" s="4">
        <v>17.03</v>
      </c>
      <c r="C115" s="4">
        <f t="shared" si="6"/>
        <v>5.12</v>
      </c>
      <c r="D115" s="4">
        <f t="shared" si="7"/>
        <v>308.73</v>
      </c>
    </row>
    <row r="116" spans="1:4" x14ac:dyDescent="0.3">
      <c r="A116" s="4">
        <v>16.5</v>
      </c>
      <c r="B116" s="4">
        <v>16.3</v>
      </c>
      <c r="C116" s="4">
        <f t="shared" si="6"/>
        <v>-1.21</v>
      </c>
      <c r="D116" s="4">
        <f t="shared" si="7"/>
        <v>304.99</v>
      </c>
    </row>
    <row r="118" spans="1:4" s="6" customFormat="1" x14ac:dyDescent="0.3">
      <c r="A118" s="5" t="s">
        <v>17</v>
      </c>
      <c r="B118" s="5">
        <v>2020</v>
      </c>
      <c r="C118" s="5"/>
      <c r="D118" s="5">
        <v>100</v>
      </c>
    </row>
    <row r="119" spans="1:4" x14ac:dyDescent="0.3">
      <c r="A119" s="4">
        <v>6.82</v>
      </c>
      <c r="B119" s="4">
        <v>6.55</v>
      </c>
      <c r="C119" s="4">
        <f t="shared" ref="C119:C166" si="8">ROUND((B119 - A119) / A119 * 100, 2)</f>
        <v>-3.96</v>
      </c>
      <c r="D119" s="4">
        <f t="shared" ref="D119:D166" si="9">ROUND(D118 * (1 + C119 / 100), 2)</f>
        <v>96.04</v>
      </c>
    </row>
    <row r="120" spans="1:4" x14ac:dyDescent="0.3">
      <c r="A120" s="4">
        <v>5.72</v>
      </c>
      <c r="B120" s="4">
        <v>5.44</v>
      </c>
      <c r="C120" s="4">
        <f t="shared" si="8"/>
        <v>-4.9000000000000004</v>
      </c>
      <c r="D120" s="4">
        <f t="shared" si="9"/>
        <v>91.33</v>
      </c>
    </row>
    <row r="121" spans="1:4" x14ac:dyDescent="0.3">
      <c r="A121" s="4">
        <v>5.72</v>
      </c>
      <c r="B121" s="4">
        <v>6.4</v>
      </c>
      <c r="C121" s="4">
        <f t="shared" si="8"/>
        <v>11.89</v>
      </c>
      <c r="D121" s="4">
        <f t="shared" si="9"/>
        <v>102.19</v>
      </c>
    </row>
    <row r="122" spans="1:4" x14ac:dyDescent="0.3">
      <c r="A122" s="4">
        <v>6.45</v>
      </c>
      <c r="B122" s="4">
        <v>6.45</v>
      </c>
      <c r="C122" s="4">
        <f t="shared" si="8"/>
        <v>0</v>
      </c>
      <c r="D122" s="4">
        <f t="shared" si="9"/>
        <v>102.19</v>
      </c>
    </row>
    <row r="123" spans="1:4" x14ac:dyDescent="0.3">
      <c r="A123" s="4">
        <v>6.7</v>
      </c>
      <c r="B123" s="4">
        <v>6.15</v>
      </c>
      <c r="C123" s="4">
        <f t="shared" si="8"/>
        <v>-8.2100000000000009</v>
      </c>
      <c r="D123" s="4">
        <f t="shared" si="9"/>
        <v>93.8</v>
      </c>
    </row>
    <row r="124" spans="1:4" x14ac:dyDescent="0.3">
      <c r="A124" s="4">
        <v>6.72</v>
      </c>
      <c r="B124" s="4">
        <v>7.22</v>
      </c>
      <c r="C124" s="4">
        <f t="shared" si="8"/>
        <v>7.44</v>
      </c>
      <c r="D124" s="4">
        <f t="shared" si="9"/>
        <v>100.78</v>
      </c>
    </row>
    <row r="125" spans="1:4" x14ac:dyDescent="0.3">
      <c r="A125" s="4">
        <v>7.45</v>
      </c>
      <c r="B125" s="4">
        <v>8.15</v>
      </c>
      <c r="C125" s="4">
        <f t="shared" si="8"/>
        <v>9.4</v>
      </c>
      <c r="D125" s="4">
        <f t="shared" si="9"/>
        <v>110.25</v>
      </c>
    </row>
    <row r="126" spans="1:4" x14ac:dyDescent="0.3">
      <c r="A126" s="4">
        <v>8</v>
      </c>
      <c r="B126" s="4">
        <v>8.35</v>
      </c>
      <c r="C126" s="4">
        <f t="shared" si="8"/>
        <v>4.38</v>
      </c>
      <c r="D126" s="4">
        <f t="shared" si="9"/>
        <v>115.08</v>
      </c>
    </row>
    <row r="127" spans="1:4" x14ac:dyDescent="0.3">
      <c r="A127" s="4">
        <v>8.1</v>
      </c>
      <c r="B127" s="4">
        <v>8.0500000000000007</v>
      </c>
      <c r="C127" s="4">
        <f t="shared" si="8"/>
        <v>-0.62</v>
      </c>
      <c r="D127" s="4">
        <f t="shared" si="9"/>
        <v>114.37</v>
      </c>
    </row>
    <row r="128" spans="1:4" x14ac:dyDescent="0.3">
      <c r="A128" s="4">
        <v>8.41</v>
      </c>
      <c r="B128" s="4">
        <v>9</v>
      </c>
      <c r="C128" s="4">
        <f t="shared" si="8"/>
        <v>7.02</v>
      </c>
      <c r="D128" s="4">
        <f t="shared" si="9"/>
        <v>122.4</v>
      </c>
    </row>
    <row r="129" spans="1:4" x14ac:dyDescent="0.3">
      <c r="A129" s="4">
        <v>8.67</v>
      </c>
      <c r="B129" s="4">
        <v>10.4</v>
      </c>
      <c r="C129" s="4">
        <f t="shared" si="8"/>
        <v>19.95</v>
      </c>
      <c r="D129" s="4">
        <f t="shared" si="9"/>
        <v>146.82</v>
      </c>
    </row>
    <row r="130" spans="1:4" x14ac:dyDescent="0.3">
      <c r="A130" s="4">
        <v>10.7</v>
      </c>
      <c r="B130" s="4">
        <v>15.7</v>
      </c>
      <c r="C130" s="4">
        <f t="shared" si="8"/>
        <v>46.73</v>
      </c>
      <c r="D130" s="4">
        <f t="shared" si="9"/>
        <v>215.43</v>
      </c>
    </row>
    <row r="131" spans="1:4" x14ac:dyDescent="0.3">
      <c r="A131" s="4">
        <v>15.22</v>
      </c>
      <c r="B131" s="4">
        <v>15.41</v>
      </c>
      <c r="C131" s="4">
        <f t="shared" si="8"/>
        <v>1.25</v>
      </c>
      <c r="D131" s="4">
        <f t="shared" si="9"/>
        <v>218.12</v>
      </c>
    </row>
    <row r="132" spans="1:4" x14ac:dyDescent="0.3">
      <c r="A132" s="4">
        <v>15.15</v>
      </c>
      <c r="B132" s="4">
        <v>15.93</v>
      </c>
      <c r="C132" s="4">
        <f t="shared" si="8"/>
        <v>5.15</v>
      </c>
      <c r="D132" s="4">
        <f t="shared" si="9"/>
        <v>229.35</v>
      </c>
    </row>
    <row r="133" spans="1:4" x14ac:dyDescent="0.3">
      <c r="A133" s="4">
        <v>14.9</v>
      </c>
      <c r="B133" s="4">
        <v>14.95</v>
      </c>
      <c r="C133" s="4">
        <f t="shared" si="8"/>
        <v>0.34</v>
      </c>
      <c r="D133" s="4">
        <f t="shared" si="9"/>
        <v>230.13</v>
      </c>
    </row>
    <row r="134" spans="1:4" x14ac:dyDescent="0.3">
      <c r="A134" s="4">
        <v>15.2</v>
      </c>
      <c r="B134" s="4">
        <v>14.66</v>
      </c>
      <c r="C134" s="4">
        <f t="shared" si="8"/>
        <v>-3.55</v>
      </c>
      <c r="D134" s="4">
        <f t="shared" si="9"/>
        <v>221.96</v>
      </c>
    </row>
    <row r="135" spans="1:4" x14ac:dyDescent="0.3">
      <c r="A135" s="4">
        <v>15.3</v>
      </c>
      <c r="B135" s="4">
        <v>14.95</v>
      </c>
      <c r="C135" s="4">
        <f t="shared" si="8"/>
        <v>-2.29</v>
      </c>
      <c r="D135" s="4">
        <f t="shared" si="9"/>
        <v>216.88</v>
      </c>
    </row>
    <row r="136" spans="1:4" x14ac:dyDescent="0.3">
      <c r="A136" s="4">
        <v>15.2</v>
      </c>
      <c r="B136" s="4">
        <v>16.8</v>
      </c>
      <c r="C136" s="4">
        <f t="shared" si="8"/>
        <v>10.53</v>
      </c>
      <c r="D136" s="4">
        <f t="shared" si="9"/>
        <v>239.72</v>
      </c>
    </row>
    <row r="137" spans="1:4" x14ac:dyDescent="0.3">
      <c r="A137" s="4">
        <v>15.55</v>
      </c>
      <c r="B137" s="4">
        <v>15.59</v>
      </c>
      <c r="C137" s="4">
        <f t="shared" si="8"/>
        <v>0.26</v>
      </c>
      <c r="D137" s="4">
        <f t="shared" si="9"/>
        <v>240.34</v>
      </c>
    </row>
    <row r="138" spans="1:4" x14ac:dyDescent="0.3">
      <c r="A138" s="4">
        <v>15.7</v>
      </c>
      <c r="B138" s="4">
        <v>16.5</v>
      </c>
      <c r="C138" s="4">
        <f t="shared" si="8"/>
        <v>5.0999999999999996</v>
      </c>
      <c r="D138" s="4">
        <f t="shared" si="9"/>
        <v>252.6</v>
      </c>
    </row>
    <row r="139" spans="1:4" x14ac:dyDescent="0.3">
      <c r="A139" s="4">
        <v>17.3</v>
      </c>
      <c r="B139" s="4">
        <v>21.5</v>
      </c>
      <c r="C139" s="4">
        <f t="shared" si="8"/>
        <v>24.28</v>
      </c>
      <c r="D139" s="4">
        <f t="shared" si="9"/>
        <v>313.93</v>
      </c>
    </row>
    <row r="140" spans="1:4" x14ac:dyDescent="0.3">
      <c r="A140" s="4">
        <v>20.399999999999999</v>
      </c>
      <c r="B140" s="4">
        <v>23</v>
      </c>
      <c r="C140" s="4">
        <f t="shared" si="8"/>
        <v>12.75</v>
      </c>
      <c r="D140" s="4">
        <f t="shared" si="9"/>
        <v>353.96</v>
      </c>
    </row>
    <row r="141" spans="1:4" x14ac:dyDescent="0.3">
      <c r="A141" s="4">
        <v>25.6</v>
      </c>
      <c r="B141" s="4">
        <v>26.8</v>
      </c>
      <c r="C141" s="4">
        <f t="shared" si="8"/>
        <v>4.6900000000000004</v>
      </c>
      <c r="D141" s="4">
        <f t="shared" si="9"/>
        <v>370.56</v>
      </c>
    </row>
    <row r="142" spans="1:4" x14ac:dyDescent="0.3">
      <c r="A142" s="4">
        <v>28</v>
      </c>
      <c r="B142" s="4">
        <v>26.88</v>
      </c>
      <c r="C142" s="4">
        <f t="shared" si="8"/>
        <v>-4</v>
      </c>
      <c r="D142" s="4">
        <f t="shared" si="9"/>
        <v>355.74</v>
      </c>
    </row>
    <row r="143" spans="1:4" x14ac:dyDescent="0.3">
      <c r="A143" s="4">
        <v>28.9</v>
      </c>
      <c r="B143" s="4">
        <v>28.4</v>
      </c>
      <c r="C143" s="4">
        <f t="shared" si="8"/>
        <v>-1.73</v>
      </c>
      <c r="D143" s="4">
        <f t="shared" si="9"/>
        <v>349.59</v>
      </c>
    </row>
    <row r="144" spans="1:4" x14ac:dyDescent="0.3">
      <c r="A144" s="4">
        <v>26.1</v>
      </c>
      <c r="B144" s="4">
        <v>27.1</v>
      </c>
      <c r="C144" s="4">
        <f t="shared" si="8"/>
        <v>3.83</v>
      </c>
      <c r="D144" s="4">
        <f t="shared" si="9"/>
        <v>362.98</v>
      </c>
    </row>
    <row r="145" spans="1:4" x14ac:dyDescent="0.3">
      <c r="A145" s="4">
        <v>28.4</v>
      </c>
      <c r="B145" s="4">
        <v>27.8</v>
      </c>
      <c r="C145" s="4">
        <f t="shared" si="8"/>
        <v>-2.11</v>
      </c>
      <c r="D145" s="4">
        <f t="shared" si="9"/>
        <v>355.32</v>
      </c>
    </row>
    <row r="146" spans="1:4" x14ac:dyDescent="0.3">
      <c r="A146" s="4">
        <v>30.3</v>
      </c>
      <c r="B146" s="4">
        <v>33</v>
      </c>
      <c r="C146" s="4">
        <f t="shared" si="8"/>
        <v>8.91</v>
      </c>
      <c r="D146" s="4">
        <f t="shared" si="9"/>
        <v>386.98</v>
      </c>
    </row>
    <row r="147" spans="1:4" x14ac:dyDescent="0.3">
      <c r="A147" s="4">
        <v>34.1</v>
      </c>
      <c r="B147" s="4">
        <v>35.799999999999997</v>
      </c>
      <c r="C147" s="4">
        <f t="shared" si="8"/>
        <v>4.99</v>
      </c>
      <c r="D147" s="4">
        <f t="shared" si="9"/>
        <v>406.29</v>
      </c>
    </row>
    <row r="148" spans="1:4" x14ac:dyDescent="0.3">
      <c r="A148" s="4">
        <v>19.7</v>
      </c>
      <c r="B148" s="4">
        <v>17.600000000000001</v>
      </c>
      <c r="C148" s="4">
        <f t="shared" si="8"/>
        <v>-10.66</v>
      </c>
      <c r="D148" s="4">
        <f t="shared" si="9"/>
        <v>362.98</v>
      </c>
    </row>
    <row r="149" spans="1:4" x14ac:dyDescent="0.3">
      <c r="A149" s="4">
        <v>16.84</v>
      </c>
      <c r="B149" s="4">
        <v>18</v>
      </c>
      <c r="C149" s="4">
        <f t="shared" si="8"/>
        <v>6.89</v>
      </c>
      <c r="D149" s="4">
        <f t="shared" si="9"/>
        <v>387.99</v>
      </c>
    </row>
    <row r="150" spans="1:4" x14ac:dyDescent="0.3">
      <c r="A150" s="4">
        <v>11.88</v>
      </c>
      <c r="B150" s="4">
        <v>13.6</v>
      </c>
      <c r="C150" s="4">
        <f t="shared" si="8"/>
        <v>14.48</v>
      </c>
      <c r="D150" s="4">
        <f t="shared" si="9"/>
        <v>444.17</v>
      </c>
    </row>
    <row r="151" spans="1:4" x14ac:dyDescent="0.3">
      <c r="A151" s="4">
        <v>15.2</v>
      </c>
      <c r="B151" s="4">
        <v>14.66</v>
      </c>
      <c r="C151" s="4">
        <f t="shared" si="8"/>
        <v>-3.55</v>
      </c>
      <c r="D151" s="4">
        <f t="shared" si="9"/>
        <v>428.4</v>
      </c>
    </row>
    <row r="152" spans="1:4" x14ac:dyDescent="0.3">
      <c r="A152" s="4">
        <v>15.2</v>
      </c>
      <c r="B152" s="4">
        <v>14.51</v>
      </c>
      <c r="C152" s="4">
        <f t="shared" si="8"/>
        <v>-4.54</v>
      </c>
      <c r="D152" s="4">
        <f t="shared" si="9"/>
        <v>408.95</v>
      </c>
    </row>
    <row r="153" spans="1:4" x14ac:dyDescent="0.3">
      <c r="A153" s="4">
        <v>14.6</v>
      </c>
      <c r="B153" s="4">
        <v>16.2</v>
      </c>
      <c r="C153" s="4">
        <f t="shared" si="8"/>
        <v>10.96</v>
      </c>
      <c r="D153" s="4">
        <f t="shared" si="9"/>
        <v>453.77</v>
      </c>
    </row>
    <row r="154" spans="1:4" x14ac:dyDescent="0.3">
      <c r="A154" s="4">
        <v>16.600000000000001</v>
      </c>
      <c r="B154" s="4">
        <v>16.05</v>
      </c>
      <c r="C154" s="4">
        <f t="shared" si="8"/>
        <v>-3.31</v>
      </c>
      <c r="D154" s="4">
        <f t="shared" si="9"/>
        <v>438.75</v>
      </c>
    </row>
    <row r="155" spans="1:4" x14ac:dyDescent="0.3">
      <c r="A155" s="4">
        <v>16.350000000000001</v>
      </c>
      <c r="B155" s="4">
        <v>15.86</v>
      </c>
      <c r="C155" s="4">
        <f t="shared" si="8"/>
        <v>-3</v>
      </c>
      <c r="D155" s="4">
        <f t="shared" si="9"/>
        <v>425.59</v>
      </c>
    </row>
    <row r="156" spans="1:4" x14ac:dyDescent="0.3">
      <c r="A156" s="4">
        <v>19.95</v>
      </c>
      <c r="B156" s="4">
        <v>20.66</v>
      </c>
      <c r="C156" s="4">
        <f t="shared" si="8"/>
        <v>3.56</v>
      </c>
      <c r="D156" s="4">
        <f t="shared" si="9"/>
        <v>440.74</v>
      </c>
    </row>
    <row r="157" spans="1:4" x14ac:dyDescent="0.3">
      <c r="A157" s="4">
        <v>21.4</v>
      </c>
      <c r="B157" s="4">
        <v>22.5</v>
      </c>
      <c r="C157" s="4">
        <f t="shared" si="8"/>
        <v>5.14</v>
      </c>
      <c r="D157" s="4">
        <f t="shared" si="9"/>
        <v>463.39</v>
      </c>
    </row>
    <row r="158" spans="1:4" x14ac:dyDescent="0.3">
      <c r="A158" s="4">
        <v>23.8</v>
      </c>
      <c r="B158" s="4">
        <v>27.85</v>
      </c>
      <c r="C158" s="4">
        <f t="shared" si="8"/>
        <v>17.02</v>
      </c>
      <c r="D158" s="4">
        <f t="shared" si="9"/>
        <v>542.26</v>
      </c>
    </row>
    <row r="159" spans="1:4" x14ac:dyDescent="0.3">
      <c r="A159" s="4">
        <v>26.25</v>
      </c>
      <c r="B159" s="4">
        <v>25</v>
      </c>
      <c r="C159" s="4">
        <f t="shared" si="8"/>
        <v>-4.76</v>
      </c>
      <c r="D159" s="4">
        <f t="shared" si="9"/>
        <v>516.45000000000005</v>
      </c>
    </row>
    <row r="160" spans="1:4" x14ac:dyDescent="0.3">
      <c r="A160" s="4">
        <v>26.25</v>
      </c>
      <c r="B160" s="4">
        <v>28.5</v>
      </c>
      <c r="C160" s="4">
        <f t="shared" si="8"/>
        <v>8.57</v>
      </c>
      <c r="D160" s="4">
        <f t="shared" si="9"/>
        <v>560.71</v>
      </c>
    </row>
    <row r="161" spans="1:4" x14ac:dyDescent="0.3">
      <c r="A161" s="4">
        <v>28.4</v>
      </c>
      <c r="B161" s="4">
        <v>29.65</v>
      </c>
      <c r="C161" s="4">
        <f t="shared" si="8"/>
        <v>4.4000000000000004</v>
      </c>
      <c r="D161" s="4">
        <f t="shared" si="9"/>
        <v>585.38</v>
      </c>
    </row>
    <row r="162" spans="1:4" x14ac:dyDescent="0.3">
      <c r="A162" s="4">
        <v>28.3</v>
      </c>
      <c r="B162" s="4">
        <v>28.2</v>
      </c>
      <c r="C162" s="4">
        <f t="shared" si="8"/>
        <v>-0.35</v>
      </c>
      <c r="D162" s="4">
        <f t="shared" si="9"/>
        <v>583.33000000000004</v>
      </c>
    </row>
    <row r="163" spans="1:4" x14ac:dyDescent="0.3">
      <c r="A163" s="4">
        <v>25.15</v>
      </c>
      <c r="B163" s="4">
        <v>25.4</v>
      </c>
      <c r="C163" s="4">
        <f t="shared" si="8"/>
        <v>0.99</v>
      </c>
      <c r="D163" s="4">
        <f t="shared" si="9"/>
        <v>589.1</v>
      </c>
    </row>
    <row r="164" spans="1:4" x14ac:dyDescent="0.3">
      <c r="A164" s="4">
        <v>26</v>
      </c>
      <c r="B164" s="4">
        <v>26.25</v>
      </c>
      <c r="C164" s="4">
        <f t="shared" si="8"/>
        <v>0.96</v>
      </c>
      <c r="D164" s="4">
        <f t="shared" si="9"/>
        <v>594.76</v>
      </c>
    </row>
    <row r="165" spans="1:4" x14ac:dyDescent="0.3">
      <c r="A165" s="4">
        <v>27.55</v>
      </c>
      <c r="B165" s="4">
        <v>26.7</v>
      </c>
      <c r="C165" s="4">
        <f t="shared" si="8"/>
        <v>-3.09</v>
      </c>
      <c r="D165" s="4">
        <f t="shared" si="9"/>
        <v>576.38</v>
      </c>
    </row>
    <row r="166" spans="1:4" x14ac:dyDescent="0.3">
      <c r="A166" s="4">
        <v>25</v>
      </c>
      <c r="B166" s="4">
        <v>25.9</v>
      </c>
      <c r="C166" s="4">
        <f t="shared" si="8"/>
        <v>3.6</v>
      </c>
      <c r="D166" s="4">
        <f t="shared" si="9"/>
        <v>597.13</v>
      </c>
    </row>
    <row r="168" spans="1:4" s="6" customFormat="1" x14ac:dyDescent="0.3">
      <c r="A168" s="5" t="s">
        <v>23</v>
      </c>
      <c r="B168" s="5">
        <v>2022</v>
      </c>
      <c r="C168" s="5"/>
      <c r="D168" s="5">
        <v>100</v>
      </c>
    </row>
    <row r="169" spans="1:4" x14ac:dyDescent="0.3">
      <c r="A169" s="4">
        <v>19.3</v>
      </c>
      <c r="B169" s="4">
        <v>18.79</v>
      </c>
      <c r="C169" s="4">
        <f t="shared" ref="C169:C180" si="10">ROUND((B169 - A169) / A169 * 100, 2)</f>
        <v>-2.64</v>
      </c>
      <c r="D169" s="4">
        <f t="shared" ref="D169:D180" si="11">ROUND(D168 * (1 + C169 / 100), 2)</f>
        <v>97.36</v>
      </c>
    </row>
    <row r="170" spans="1:4" x14ac:dyDescent="0.3">
      <c r="A170" s="4">
        <v>10.130000000000001</v>
      </c>
      <c r="B170" s="4">
        <v>10.96</v>
      </c>
      <c r="C170" s="4">
        <f t="shared" si="10"/>
        <v>8.19</v>
      </c>
      <c r="D170" s="4">
        <f t="shared" si="11"/>
        <v>105.33</v>
      </c>
    </row>
    <row r="171" spans="1:4" x14ac:dyDescent="0.3">
      <c r="A171" s="4">
        <v>13</v>
      </c>
      <c r="B171" s="4">
        <v>11.16</v>
      </c>
      <c r="C171" s="4">
        <f t="shared" si="10"/>
        <v>-14.15</v>
      </c>
      <c r="D171" s="4">
        <f t="shared" si="11"/>
        <v>90.43</v>
      </c>
    </row>
    <row r="172" spans="1:4" x14ac:dyDescent="0.3">
      <c r="A172" s="4">
        <v>7.18</v>
      </c>
      <c r="B172" s="4">
        <v>7.38</v>
      </c>
      <c r="C172" s="4">
        <f t="shared" si="10"/>
        <v>2.79</v>
      </c>
      <c r="D172" s="4">
        <f t="shared" si="11"/>
        <v>92.95</v>
      </c>
    </row>
    <row r="173" spans="1:4" x14ac:dyDescent="0.3">
      <c r="A173" s="4">
        <v>8.5</v>
      </c>
      <c r="B173" s="4">
        <v>9.3000000000000007</v>
      </c>
      <c r="C173" s="4">
        <f t="shared" si="10"/>
        <v>9.41</v>
      </c>
      <c r="D173" s="4">
        <f t="shared" si="11"/>
        <v>101.7</v>
      </c>
    </row>
    <row r="174" spans="1:4" x14ac:dyDescent="0.3">
      <c r="A174" s="4">
        <v>9.6</v>
      </c>
      <c r="B174" s="4">
        <v>10.029999999999999</v>
      </c>
      <c r="C174" s="4">
        <f t="shared" si="10"/>
        <v>4.4800000000000004</v>
      </c>
      <c r="D174" s="4">
        <f t="shared" si="11"/>
        <v>106.26</v>
      </c>
    </row>
    <row r="175" spans="1:4" x14ac:dyDescent="0.3">
      <c r="A175" s="4">
        <v>10.5</v>
      </c>
      <c r="B175" s="4">
        <v>11.5</v>
      </c>
      <c r="C175" s="4">
        <f t="shared" si="10"/>
        <v>9.52</v>
      </c>
      <c r="D175" s="4">
        <f t="shared" si="11"/>
        <v>116.38</v>
      </c>
    </row>
    <row r="176" spans="1:4" x14ac:dyDescent="0.3">
      <c r="A176" s="4">
        <v>12.5</v>
      </c>
      <c r="B176" s="4">
        <v>14.3</v>
      </c>
      <c r="C176" s="4">
        <f t="shared" si="10"/>
        <v>14.4</v>
      </c>
      <c r="D176" s="4">
        <f t="shared" si="11"/>
        <v>133.13999999999999</v>
      </c>
    </row>
    <row r="177" spans="1:4" x14ac:dyDescent="0.3">
      <c r="A177" s="4">
        <v>13.9</v>
      </c>
      <c r="B177" s="4">
        <v>13.45</v>
      </c>
      <c r="C177" s="4">
        <f t="shared" si="10"/>
        <v>-3.24</v>
      </c>
      <c r="D177" s="4">
        <f t="shared" si="11"/>
        <v>128.83000000000001</v>
      </c>
    </row>
    <row r="178" spans="1:4" x14ac:dyDescent="0.3">
      <c r="A178" s="4">
        <v>15.3</v>
      </c>
      <c r="B178" s="4">
        <v>13.3</v>
      </c>
      <c r="C178" s="4">
        <f t="shared" si="10"/>
        <v>-13.07</v>
      </c>
      <c r="D178" s="4">
        <f t="shared" si="11"/>
        <v>111.99</v>
      </c>
    </row>
    <row r="179" spans="1:4" x14ac:dyDescent="0.3">
      <c r="A179" s="4">
        <v>13.4</v>
      </c>
      <c r="B179" s="4">
        <v>13.2</v>
      </c>
      <c r="C179" s="4">
        <f t="shared" si="10"/>
        <v>-1.49</v>
      </c>
      <c r="D179" s="4">
        <f t="shared" si="11"/>
        <v>110.32</v>
      </c>
    </row>
    <row r="180" spans="1:4" x14ac:dyDescent="0.3">
      <c r="A180" s="4">
        <v>14.4</v>
      </c>
      <c r="B180" s="4">
        <v>15</v>
      </c>
      <c r="C180" s="4">
        <f t="shared" si="10"/>
        <v>4.17</v>
      </c>
      <c r="D180" s="4">
        <f t="shared" si="11"/>
        <v>114.92</v>
      </c>
    </row>
    <row r="182" spans="1:4" s="6" customFormat="1" x14ac:dyDescent="0.3">
      <c r="A182" s="5" t="s">
        <v>24</v>
      </c>
      <c r="B182" s="5">
        <v>2022</v>
      </c>
      <c r="C182" s="5"/>
      <c r="D182" s="5">
        <v>100</v>
      </c>
    </row>
    <row r="183" spans="1:4" x14ac:dyDescent="0.3">
      <c r="A183" s="4">
        <v>21</v>
      </c>
      <c r="B183" s="4">
        <v>20.350000000000001</v>
      </c>
      <c r="C183" s="4">
        <f t="shared" ref="C183:C205" si="12">ROUND((B183 - A183) / A183 * 100, 2)</f>
        <v>-3.1</v>
      </c>
      <c r="D183" s="4">
        <f t="shared" ref="D183:D205" si="13">ROUND(D182 * (1 + C183 / 100), 2)</f>
        <v>96.9</v>
      </c>
    </row>
    <row r="184" spans="1:4" x14ac:dyDescent="0.3">
      <c r="A184" s="4">
        <v>21.3</v>
      </c>
      <c r="B184" s="4">
        <v>21.66</v>
      </c>
      <c r="C184" s="4">
        <f t="shared" si="12"/>
        <v>1.69</v>
      </c>
      <c r="D184" s="4">
        <f t="shared" si="13"/>
        <v>98.54</v>
      </c>
    </row>
    <row r="185" spans="1:4" x14ac:dyDescent="0.3">
      <c r="A185" s="4">
        <v>22.15</v>
      </c>
      <c r="B185" s="4">
        <v>23.3</v>
      </c>
      <c r="C185" s="4">
        <f t="shared" si="12"/>
        <v>5.19</v>
      </c>
      <c r="D185" s="4">
        <f t="shared" si="13"/>
        <v>103.65</v>
      </c>
    </row>
    <row r="186" spans="1:4" x14ac:dyDescent="0.3">
      <c r="A186" s="4">
        <v>22.4</v>
      </c>
      <c r="B186" s="4">
        <v>21.9</v>
      </c>
      <c r="C186" s="4">
        <f t="shared" si="12"/>
        <v>-2.23</v>
      </c>
      <c r="D186" s="4">
        <f t="shared" si="13"/>
        <v>101.34</v>
      </c>
    </row>
    <row r="187" spans="1:4" x14ac:dyDescent="0.3">
      <c r="A187" s="4">
        <v>22.3</v>
      </c>
      <c r="B187" s="4">
        <v>23.2</v>
      </c>
      <c r="C187" s="4">
        <f t="shared" si="12"/>
        <v>4.04</v>
      </c>
      <c r="D187" s="4">
        <f t="shared" si="13"/>
        <v>105.43</v>
      </c>
    </row>
    <row r="188" spans="1:4" x14ac:dyDescent="0.3">
      <c r="A188" s="4">
        <v>23.3</v>
      </c>
      <c r="B188" s="4">
        <v>21.6</v>
      </c>
      <c r="C188" s="4">
        <f t="shared" si="12"/>
        <v>-7.3</v>
      </c>
      <c r="D188" s="4">
        <f t="shared" si="13"/>
        <v>97.73</v>
      </c>
    </row>
    <row r="189" spans="1:4" x14ac:dyDescent="0.3">
      <c r="A189" s="4">
        <v>18.7</v>
      </c>
      <c r="B189" s="4">
        <v>17.899999999999999</v>
      </c>
      <c r="C189" s="4">
        <f t="shared" si="12"/>
        <v>-4.28</v>
      </c>
      <c r="D189" s="4">
        <f t="shared" si="13"/>
        <v>93.55</v>
      </c>
    </row>
    <row r="190" spans="1:4" x14ac:dyDescent="0.3">
      <c r="A190" s="4">
        <v>17.25</v>
      </c>
      <c r="B190" s="4">
        <v>19</v>
      </c>
      <c r="C190" s="4">
        <f t="shared" si="12"/>
        <v>10.14</v>
      </c>
      <c r="D190" s="4">
        <f t="shared" si="13"/>
        <v>103.04</v>
      </c>
    </row>
    <row r="191" spans="1:4" x14ac:dyDescent="0.3">
      <c r="A191" s="4">
        <v>18.5</v>
      </c>
      <c r="B191" s="4">
        <v>18.04</v>
      </c>
      <c r="C191" s="4">
        <f t="shared" si="12"/>
        <v>-2.4900000000000002</v>
      </c>
      <c r="D191" s="4">
        <f t="shared" si="13"/>
        <v>100.47</v>
      </c>
    </row>
    <row r="192" spans="1:4" x14ac:dyDescent="0.3">
      <c r="A192" s="4">
        <v>15.57</v>
      </c>
      <c r="B192" s="4">
        <v>14.75</v>
      </c>
      <c r="C192" s="4">
        <f t="shared" si="12"/>
        <v>-5.27</v>
      </c>
      <c r="D192" s="4">
        <f t="shared" si="13"/>
        <v>95.18</v>
      </c>
    </row>
    <row r="193" spans="1:4" x14ac:dyDescent="0.3">
      <c r="A193" s="4">
        <v>14.95</v>
      </c>
      <c r="B193" s="4">
        <v>16.3</v>
      </c>
      <c r="C193" s="4">
        <f t="shared" si="12"/>
        <v>9.0299999999999994</v>
      </c>
      <c r="D193" s="4">
        <f t="shared" si="13"/>
        <v>103.77</v>
      </c>
    </row>
    <row r="194" spans="1:4" x14ac:dyDescent="0.3">
      <c r="A194" s="4">
        <v>15.4</v>
      </c>
      <c r="B194" s="4">
        <v>16.2</v>
      </c>
      <c r="C194" s="4">
        <f t="shared" si="12"/>
        <v>5.19</v>
      </c>
      <c r="D194" s="4">
        <f t="shared" si="13"/>
        <v>109.16</v>
      </c>
    </row>
    <row r="195" spans="1:4" x14ac:dyDescent="0.3">
      <c r="A195" s="4">
        <v>17.149999999999999</v>
      </c>
      <c r="B195" s="4">
        <v>16.649999999999999</v>
      </c>
      <c r="C195" s="4">
        <f t="shared" si="12"/>
        <v>-2.92</v>
      </c>
      <c r="D195" s="4">
        <f t="shared" si="13"/>
        <v>105.97</v>
      </c>
    </row>
    <row r="196" spans="1:4" x14ac:dyDescent="0.3">
      <c r="A196" s="4">
        <v>15.9</v>
      </c>
      <c r="B196" s="4">
        <v>17.899999999999999</v>
      </c>
      <c r="C196" s="4">
        <f t="shared" si="12"/>
        <v>12.58</v>
      </c>
      <c r="D196" s="4">
        <f t="shared" si="13"/>
        <v>119.3</v>
      </c>
    </row>
    <row r="197" spans="1:4" x14ac:dyDescent="0.3">
      <c r="A197" s="4">
        <v>18.399999999999999</v>
      </c>
      <c r="B197" s="4">
        <v>19.100000000000001</v>
      </c>
      <c r="C197" s="4">
        <f t="shared" si="12"/>
        <v>3.8</v>
      </c>
      <c r="D197" s="4">
        <f t="shared" si="13"/>
        <v>123.83</v>
      </c>
    </row>
    <row r="198" spans="1:4" x14ac:dyDescent="0.3">
      <c r="A198" s="4">
        <v>18.7</v>
      </c>
      <c r="B198" s="4">
        <v>19.399999999999999</v>
      </c>
      <c r="C198" s="4">
        <f t="shared" si="12"/>
        <v>3.74</v>
      </c>
      <c r="D198" s="4">
        <f t="shared" si="13"/>
        <v>128.46</v>
      </c>
    </row>
    <row r="199" spans="1:4" x14ac:dyDescent="0.3">
      <c r="A199" s="4">
        <v>18.7</v>
      </c>
      <c r="B199" s="4">
        <v>18.64</v>
      </c>
      <c r="C199" s="4">
        <f t="shared" si="12"/>
        <v>-0.32</v>
      </c>
      <c r="D199" s="4">
        <f t="shared" si="13"/>
        <v>128.05000000000001</v>
      </c>
    </row>
    <row r="200" spans="1:4" x14ac:dyDescent="0.3">
      <c r="A200" s="4">
        <v>18.100000000000001</v>
      </c>
      <c r="B200" s="4">
        <v>17.37</v>
      </c>
      <c r="C200" s="4">
        <f t="shared" si="12"/>
        <v>-4.03</v>
      </c>
      <c r="D200" s="4">
        <f t="shared" si="13"/>
        <v>122.89</v>
      </c>
    </row>
    <row r="201" spans="1:4" x14ac:dyDescent="0.3">
      <c r="A201" s="4">
        <v>17.829999999999998</v>
      </c>
      <c r="B201" s="4">
        <v>17.559999999999999</v>
      </c>
      <c r="C201" s="4">
        <f t="shared" si="12"/>
        <v>-1.51</v>
      </c>
      <c r="D201" s="4">
        <f t="shared" si="13"/>
        <v>121.03</v>
      </c>
    </row>
    <row r="202" spans="1:4" x14ac:dyDescent="0.3">
      <c r="A202" s="4">
        <v>17.96</v>
      </c>
      <c r="B202" s="4">
        <v>17.649999999999999</v>
      </c>
      <c r="C202" s="4">
        <f t="shared" si="12"/>
        <v>-1.73</v>
      </c>
      <c r="D202" s="4">
        <f t="shared" si="13"/>
        <v>118.94</v>
      </c>
    </row>
    <row r="203" spans="1:4" x14ac:dyDescent="0.3">
      <c r="A203" s="4">
        <v>18.5</v>
      </c>
      <c r="B203" s="4">
        <v>18.399999999999999</v>
      </c>
      <c r="C203" s="4">
        <f t="shared" si="12"/>
        <v>-0.54</v>
      </c>
      <c r="D203" s="4">
        <f t="shared" si="13"/>
        <v>118.3</v>
      </c>
    </row>
    <row r="204" spans="1:4" x14ac:dyDescent="0.3">
      <c r="A204" s="4">
        <v>18.75</v>
      </c>
      <c r="B204" s="4">
        <v>19.399999999999999</v>
      </c>
      <c r="C204" s="4">
        <f t="shared" si="12"/>
        <v>3.47</v>
      </c>
      <c r="D204" s="4">
        <f t="shared" si="13"/>
        <v>122.41</v>
      </c>
    </row>
    <row r="205" spans="1:4" x14ac:dyDescent="0.3">
      <c r="A205" s="4">
        <v>19.7</v>
      </c>
      <c r="B205" s="4">
        <v>18.82</v>
      </c>
      <c r="C205" s="4">
        <f t="shared" si="12"/>
        <v>-4.47</v>
      </c>
      <c r="D205" s="4">
        <f t="shared" si="13"/>
        <v>116.94</v>
      </c>
    </row>
    <row r="207" spans="1:4" s="6" customFormat="1" x14ac:dyDescent="0.3">
      <c r="A207" s="5" t="s">
        <v>26</v>
      </c>
      <c r="B207" s="5">
        <v>2022</v>
      </c>
      <c r="C207" s="5"/>
      <c r="D207" s="5">
        <v>100</v>
      </c>
    </row>
    <row r="208" spans="1:4" x14ac:dyDescent="0.3">
      <c r="A208" s="4">
        <v>33.200000000000003</v>
      </c>
      <c r="B208" s="4">
        <v>32.11</v>
      </c>
      <c r="C208" s="4">
        <f t="shared" ref="C208:C214" si="14">ROUND((B208 - A208) / A208 * 100, 2)</f>
        <v>-3.28</v>
      </c>
      <c r="D208" s="4">
        <f t="shared" ref="D208:D214" si="15">ROUND(D207 * (1 + C208 / 100), 2)</f>
        <v>96.72</v>
      </c>
    </row>
    <row r="209" spans="1:4" x14ac:dyDescent="0.3">
      <c r="A209" s="4">
        <v>33.200000000000003</v>
      </c>
      <c r="B209" s="4">
        <v>32.11</v>
      </c>
      <c r="C209" s="4">
        <f t="shared" si="14"/>
        <v>-3.28</v>
      </c>
      <c r="D209" s="4">
        <f t="shared" si="15"/>
        <v>93.55</v>
      </c>
    </row>
    <row r="210" spans="1:4" x14ac:dyDescent="0.3">
      <c r="A210" s="4">
        <v>33.9</v>
      </c>
      <c r="B210" s="4">
        <v>32.729999999999997</v>
      </c>
      <c r="C210" s="4">
        <f t="shared" si="14"/>
        <v>-3.45</v>
      </c>
      <c r="D210" s="4">
        <f t="shared" si="15"/>
        <v>90.32</v>
      </c>
    </row>
    <row r="211" spans="1:4" x14ac:dyDescent="0.3">
      <c r="A211" s="4">
        <v>24.2</v>
      </c>
      <c r="B211" s="4">
        <v>23.5</v>
      </c>
      <c r="C211" s="4">
        <f t="shared" si="14"/>
        <v>-2.89</v>
      </c>
      <c r="D211" s="4">
        <f t="shared" si="15"/>
        <v>87.71</v>
      </c>
    </row>
    <row r="212" spans="1:4" x14ac:dyDescent="0.3">
      <c r="A212" s="4">
        <v>21.4</v>
      </c>
      <c r="B212" s="4">
        <v>22.01</v>
      </c>
      <c r="C212" s="4">
        <f t="shared" si="14"/>
        <v>2.85</v>
      </c>
      <c r="D212" s="4">
        <f t="shared" si="15"/>
        <v>90.21</v>
      </c>
    </row>
    <row r="213" spans="1:4" x14ac:dyDescent="0.3">
      <c r="A213" s="4">
        <v>13.14</v>
      </c>
      <c r="B213" s="4">
        <v>12.5</v>
      </c>
      <c r="C213" s="4">
        <f t="shared" si="14"/>
        <v>-4.87</v>
      </c>
      <c r="D213" s="4">
        <f t="shared" si="15"/>
        <v>85.82</v>
      </c>
    </row>
    <row r="214" spans="1:4" x14ac:dyDescent="0.3">
      <c r="A214" s="4">
        <v>12.65</v>
      </c>
      <c r="B214" s="4">
        <v>12.22</v>
      </c>
      <c r="C214" s="4">
        <f t="shared" si="14"/>
        <v>-3.4</v>
      </c>
      <c r="D214" s="4">
        <f t="shared" si="15"/>
        <v>82.9</v>
      </c>
    </row>
    <row r="216" spans="1:4" s="6" customFormat="1" x14ac:dyDescent="0.3">
      <c r="A216" s="5" t="s">
        <v>30</v>
      </c>
      <c r="B216" s="5">
        <v>2022</v>
      </c>
      <c r="C216" s="5"/>
      <c r="D216" s="5">
        <v>100</v>
      </c>
    </row>
    <row r="217" spans="1:4" x14ac:dyDescent="0.3">
      <c r="A217" s="4">
        <v>30.1</v>
      </c>
      <c r="B217" s="4">
        <v>28.57</v>
      </c>
      <c r="C217" s="4">
        <f t="shared" ref="C217:C225" si="16">ROUND((B217 - A217) / A217 * 100, 2)</f>
        <v>-5.08</v>
      </c>
      <c r="D217" s="4">
        <f t="shared" ref="D217:D225" si="17">ROUND(D216 * (1 + C217 / 100), 2)</f>
        <v>94.92</v>
      </c>
    </row>
    <row r="218" spans="1:4" x14ac:dyDescent="0.3">
      <c r="A218" s="4">
        <v>26</v>
      </c>
      <c r="B218" s="4">
        <v>28.3</v>
      </c>
      <c r="C218" s="4">
        <f t="shared" si="16"/>
        <v>8.85</v>
      </c>
      <c r="D218" s="4">
        <f t="shared" si="17"/>
        <v>103.32</v>
      </c>
    </row>
    <row r="219" spans="1:4" x14ac:dyDescent="0.3">
      <c r="A219" s="4">
        <v>27.4</v>
      </c>
      <c r="B219" s="4">
        <v>28.2</v>
      </c>
      <c r="C219" s="4">
        <f t="shared" si="16"/>
        <v>2.92</v>
      </c>
      <c r="D219" s="4">
        <f t="shared" si="17"/>
        <v>106.34</v>
      </c>
    </row>
    <row r="220" spans="1:4" x14ac:dyDescent="0.3">
      <c r="A220" s="4">
        <v>27</v>
      </c>
      <c r="B220" s="4">
        <v>30.9</v>
      </c>
      <c r="C220" s="4">
        <f t="shared" si="16"/>
        <v>14.44</v>
      </c>
      <c r="D220" s="4">
        <f t="shared" si="17"/>
        <v>121.7</v>
      </c>
    </row>
    <row r="221" spans="1:4" x14ac:dyDescent="0.3">
      <c r="A221" s="4">
        <v>28.02</v>
      </c>
      <c r="B221" s="4">
        <v>24.67</v>
      </c>
      <c r="C221" s="4">
        <f t="shared" si="16"/>
        <v>-11.96</v>
      </c>
      <c r="D221" s="4">
        <f t="shared" si="17"/>
        <v>107.14</v>
      </c>
    </row>
    <row r="222" spans="1:4" x14ac:dyDescent="0.3">
      <c r="A222" s="4">
        <v>19.37</v>
      </c>
      <c r="B222" s="4">
        <v>16.38</v>
      </c>
      <c r="C222" s="4">
        <f t="shared" si="16"/>
        <v>-15.44</v>
      </c>
      <c r="D222" s="4">
        <f t="shared" si="17"/>
        <v>90.6</v>
      </c>
    </row>
    <row r="223" spans="1:4" x14ac:dyDescent="0.3">
      <c r="A223" s="4">
        <v>21.1</v>
      </c>
      <c r="B223" s="4">
        <v>21.9</v>
      </c>
      <c r="C223" s="4">
        <f t="shared" si="16"/>
        <v>3.79</v>
      </c>
      <c r="D223" s="4">
        <f t="shared" si="17"/>
        <v>94.03</v>
      </c>
    </row>
    <row r="224" spans="1:4" x14ac:dyDescent="0.3">
      <c r="A224" s="4">
        <v>23.4</v>
      </c>
      <c r="B224" s="4">
        <v>24.67</v>
      </c>
      <c r="C224" s="4">
        <f t="shared" si="16"/>
        <v>5.43</v>
      </c>
      <c r="D224" s="4">
        <f t="shared" si="17"/>
        <v>99.14</v>
      </c>
    </row>
    <row r="225" spans="1:4" x14ac:dyDescent="0.3">
      <c r="A225" s="4">
        <v>19.399999999999999</v>
      </c>
      <c r="B225" s="4">
        <v>19.04</v>
      </c>
      <c r="C225" s="4">
        <f t="shared" si="16"/>
        <v>-1.86</v>
      </c>
      <c r="D225" s="4">
        <f t="shared" si="17"/>
        <v>97.3</v>
      </c>
    </row>
    <row r="227" spans="1:4" s="6" customFormat="1" x14ac:dyDescent="0.3">
      <c r="A227" s="5" t="s">
        <v>18</v>
      </c>
      <c r="B227" s="5">
        <v>2022</v>
      </c>
      <c r="C227" s="5"/>
      <c r="D227" s="5">
        <v>100</v>
      </c>
    </row>
    <row r="228" spans="1:4" x14ac:dyDescent="0.3">
      <c r="A228" s="4">
        <v>22.05</v>
      </c>
      <c r="B228" s="4">
        <v>29.4</v>
      </c>
      <c r="C228" s="4">
        <f t="shared" ref="C228:C243" si="18">ROUND((B228 - A228) / A228 * 100, 2)</f>
        <v>33.33</v>
      </c>
      <c r="D228" s="4">
        <f t="shared" ref="D228:D243" si="19">ROUND(D227 * (1 + C228 / 100), 2)</f>
        <v>133.33000000000001</v>
      </c>
    </row>
    <row r="229" spans="1:4" x14ac:dyDescent="0.3">
      <c r="A229" s="4">
        <v>29.2</v>
      </c>
      <c r="B229" s="4">
        <v>31.9</v>
      </c>
      <c r="C229" s="4">
        <f t="shared" si="18"/>
        <v>9.25</v>
      </c>
      <c r="D229" s="4">
        <f t="shared" si="19"/>
        <v>145.66</v>
      </c>
    </row>
    <row r="230" spans="1:4" x14ac:dyDescent="0.3">
      <c r="A230" s="4">
        <v>32.700000000000003</v>
      </c>
      <c r="B230" s="4">
        <v>34</v>
      </c>
      <c r="C230" s="4">
        <f t="shared" si="18"/>
        <v>3.98</v>
      </c>
      <c r="D230" s="4">
        <f t="shared" si="19"/>
        <v>151.46</v>
      </c>
    </row>
    <row r="231" spans="1:4" x14ac:dyDescent="0.3">
      <c r="A231" s="4">
        <v>32.4</v>
      </c>
      <c r="B231" s="4">
        <v>31.7</v>
      </c>
      <c r="C231" s="4">
        <f t="shared" si="18"/>
        <v>-2.16</v>
      </c>
      <c r="D231" s="4">
        <f t="shared" si="19"/>
        <v>148.19</v>
      </c>
    </row>
    <row r="232" spans="1:4" x14ac:dyDescent="0.3">
      <c r="A232" s="4">
        <v>32.5</v>
      </c>
      <c r="B232" s="4">
        <v>31.4</v>
      </c>
      <c r="C232" s="4">
        <f t="shared" si="18"/>
        <v>-3.38</v>
      </c>
      <c r="D232" s="4">
        <f t="shared" si="19"/>
        <v>143.18</v>
      </c>
    </row>
    <row r="233" spans="1:4" x14ac:dyDescent="0.3">
      <c r="A233" s="4">
        <v>22.05</v>
      </c>
      <c r="B233" s="4">
        <v>26.1</v>
      </c>
      <c r="C233" s="4">
        <f t="shared" si="18"/>
        <v>18.37</v>
      </c>
      <c r="D233" s="4">
        <f t="shared" si="19"/>
        <v>169.48</v>
      </c>
    </row>
    <row r="234" spans="1:4" x14ac:dyDescent="0.3">
      <c r="A234" s="4">
        <v>23.2</v>
      </c>
      <c r="B234" s="4">
        <v>20.6</v>
      </c>
      <c r="C234" s="4">
        <f t="shared" si="18"/>
        <v>-11.21</v>
      </c>
      <c r="D234" s="4">
        <f t="shared" si="19"/>
        <v>150.47999999999999</v>
      </c>
    </row>
    <row r="235" spans="1:4" x14ac:dyDescent="0.3">
      <c r="A235" s="4">
        <v>18.3</v>
      </c>
      <c r="B235" s="4">
        <v>18.5</v>
      </c>
      <c r="C235" s="4">
        <f t="shared" si="18"/>
        <v>1.0900000000000001</v>
      </c>
      <c r="D235" s="4">
        <f t="shared" si="19"/>
        <v>152.12</v>
      </c>
    </row>
    <row r="236" spans="1:4" x14ac:dyDescent="0.3">
      <c r="A236" s="4">
        <v>19.18</v>
      </c>
      <c r="B236" s="4">
        <v>19.59</v>
      </c>
      <c r="C236" s="4">
        <f t="shared" si="18"/>
        <v>2.14</v>
      </c>
      <c r="D236" s="4">
        <f t="shared" si="19"/>
        <v>155.38</v>
      </c>
    </row>
    <row r="237" spans="1:4" x14ac:dyDescent="0.3">
      <c r="A237" s="4">
        <v>19.8</v>
      </c>
      <c r="B237" s="4">
        <v>19.3</v>
      </c>
      <c r="C237" s="4">
        <f t="shared" si="18"/>
        <v>-2.5299999999999998</v>
      </c>
      <c r="D237" s="4">
        <f t="shared" si="19"/>
        <v>151.44999999999999</v>
      </c>
    </row>
    <row r="238" spans="1:4" x14ac:dyDescent="0.3">
      <c r="A238" s="4">
        <v>13.36</v>
      </c>
      <c r="B238" s="4">
        <v>14.65</v>
      </c>
      <c r="C238" s="4">
        <f t="shared" si="18"/>
        <v>9.66</v>
      </c>
      <c r="D238" s="4">
        <f t="shared" si="19"/>
        <v>166.08</v>
      </c>
    </row>
    <row r="239" spans="1:4" x14ac:dyDescent="0.3">
      <c r="A239" s="4">
        <v>13.5</v>
      </c>
      <c r="B239" s="4">
        <v>14.4</v>
      </c>
      <c r="C239" s="4">
        <f t="shared" si="18"/>
        <v>6.67</v>
      </c>
      <c r="D239" s="4">
        <f t="shared" si="19"/>
        <v>177.16</v>
      </c>
    </row>
    <row r="240" spans="1:4" x14ac:dyDescent="0.3">
      <c r="A240" s="4">
        <v>15.2</v>
      </c>
      <c r="B240" s="4">
        <v>14.2</v>
      </c>
      <c r="C240" s="4">
        <f t="shared" si="18"/>
        <v>-6.58</v>
      </c>
      <c r="D240" s="4">
        <f t="shared" si="19"/>
        <v>165.5</v>
      </c>
    </row>
    <row r="241" spans="1:4" x14ac:dyDescent="0.3">
      <c r="A241" s="4">
        <v>14.73</v>
      </c>
      <c r="B241" s="4">
        <v>14.34</v>
      </c>
      <c r="C241" s="4">
        <f t="shared" si="18"/>
        <v>-2.65</v>
      </c>
      <c r="D241" s="4">
        <f t="shared" si="19"/>
        <v>161.11000000000001</v>
      </c>
    </row>
    <row r="242" spans="1:4" x14ac:dyDescent="0.3">
      <c r="A242" s="4">
        <v>14.5</v>
      </c>
      <c r="B242" s="4">
        <v>13.9</v>
      </c>
      <c r="C242" s="4">
        <f t="shared" si="18"/>
        <v>-4.1399999999999997</v>
      </c>
      <c r="D242" s="4">
        <f t="shared" si="19"/>
        <v>154.44</v>
      </c>
    </row>
    <row r="243" spans="1:4" x14ac:dyDescent="0.3">
      <c r="A243" s="4">
        <v>14.17</v>
      </c>
      <c r="B243" s="4">
        <v>15.47</v>
      </c>
      <c r="C243" s="4">
        <f t="shared" si="18"/>
        <v>9.17</v>
      </c>
      <c r="D243" s="4">
        <f t="shared" si="19"/>
        <v>168.6</v>
      </c>
    </row>
    <row r="244" spans="1:4" x14ac:dyDescent="0.3">
      <c r="A244" s="4">
        <v>15.96</v>
      </c>
    </row>
    <row r="246" spans="1:4" s="6" customFormat="1" x14ac:dyDescent="0.3">
      <c r="A246" s="5" t="s">
        <v>16</v>
      </c>
      <c r="B246" s="5">
        <v>2022</v>
      </c>
      <c r="C246" s="5"/>
      <c r="D246" s="5">
        <v>100</v>
      </c>
    </row>
    <row r="247" spans="1:4" x14ac:dyDescent="0.3">
      <c r="A247" s="4">
        <v>33.200000000000003</v>
      </c>
      <c r="B247" s="4">
        <v>32.5</v>
      </c>
      <c r="C247" s="4">
        <f t="shared" ref="C247:C265" si="20">ROUND((B247 - A247) / A247 * 100, 2)</f>
        <v>-2.11</v>
      </c>
      <c r="D247" s="4">
        <f t="shared" ref="D247:D265" si="21">ROUND(D246 * (1 + C247 / 100), 2)</f>
        <v>97.89</v>
      </c>
    </row>
    <row r="248" spans="1:4" x14ac:dyDescent="0.3">
      <c r="A248" s="4">
        <v>33.450000000000003</v>
      </c>
      <c r="B248" s="4">
        <v>32.200000000000003</v>
      </c>
      <c r="C248" s="4">
        <f t="shared" si="20"/>
        <v>-3.74</v>
      </c>
      <c r="D248" s="4">
        <f t="shared" si="21"/>
        <v>94.23</v>
      </c>
    </row>
    <row r="249" spans="1:4" x14ac:dyDescent="0.3">
      <c r="A249" s="4">
        <v>28.9</v>
      </c>
      <c r="B249" s="4">
        <v>30.8</v>
      </c>
      <c r="C249" s="4">
        <f t="shared" si="20"/>
        <v>6.57</v>
      </c>
      <c r="D249" s="4">
        <f t="shared" si="21"/>
        <v>100.42</v>
      </c>
    </row>
    <row r="250" spans="1:4" x14ac:dyDescent="0.3">
      <c r="A250" s="4">
        <v>27</v>
      </c>
      <c r="B250" s="4">
        <v>28.8</v>
      </c>
      <c r="C250" s="4">
        <f t="shared" si="20"/>
        <v>6.67</v>
      </c>
      <c r="D250" s="4">
        <f t="shared" si="21"/>
        <v>107.12</v>
      </c>
    </row>
    <row r="251" spans="1:4" x14ac:dyDescent="0.3">
      <c r="A251" s="4">
        <v>28.85</v>
      </c>
      <c r="B251" s="4">
        <v>27</v>
      </c>
      <c r="C251" s="4">
        <f t="shared" si="20"/>
        <v>-6.41</v>
      </c>
      <c r="D251" s="4">
        <f t="shared" si="21"/>
        <v>100.25</v>
      </c>
    </row>
    <row r="252" spans="1:4" x14ac:dyDescent="0.3">
      <c r="A252" s="4">
        <v>25.2</v>
      </c>
      <c r="B252" s="4">
        <v>28.7</v>
      </c>
      <c r="C252" s="4">
        <f t="shared" si="20"/>
        <v>13.89</v>
      </c>
      <c r="D252" s="4">
        <f t="shared" si="21"/>
        <v>114.17</v>
      </c>
    </row>
    <row r="253" spans="1:4" x14ac:dyDescent="0.3">
      <c r="A253" s="4">
        <v>30</v>
      </c>
      <c r="B253" s="4">
        <v>28</v>
      </c>
      <c r="C253" s="4">
        <f t="shared" si="20"/>
        <v>-6.67</v>
      </c>
      <c r="D253" s="4">
        <f t="shared" si="21"/>
        <v>106.55</v>
      </c>
    </row>
    <row r="254" spans="1:4" x14ac:dyDescent="0.3">
      <c r="A254" s="4">
        <v>28.7</v>
      </c>
      <c r="B254" s="4">
        <v>30</v>
      </c>
      <c r="C254" s="4">
        <f t="shared" si="20"/>
        <v>4.53</v>
      </c>
      <c r="D254" s="4">
        <f t="shared" si="21"/>
        <v>111.38</v>
      </c>
    </row>
    <row r="255" spans="1:4" x14ac:dyDescent="0.3">
      <c r="A255" s="4">
        <v>29.4</v>
      </c>
      <c r="B255" s="4">
        <v>28.9</v>
      </c>
      <c r="C255" s="4">
        <f t="shared" si="20"/>
        <v>-1.7</v>
      </c>
      <c r="D255" s="4">
        <f t="shared" si="21"/>
        <v>109.49</v>
      </c>
    </row>
    <row r="256" spans="1:4" x14ac:dyDescent="0.3">
      <c r="A256" s="4">
        <v>27</v>
      </c>
      <c r="B256" s="4">
        <v>28.6</v>
      </c>
      <c r="C256" s="4">
        <f t="shared" si="20"/>
        <v>5.93</v>
      </c>
      <c r="D256" s="4">
        <f t="shared" si="21"/>
        <v>115.98</v>
      </c>
    </row>
    <row r="257" spans="1:4" x14ac:dyDescent="0.3">
      <c r="A257" s="4">
        <v>28.85</v>
      </c>
      <c r="B257" s="4">
        <v>27.1</v>
      </c>
      <c r="C257" s="4">
        <f t="shared" si="20"/>
        <v>-6.07</v>
      </c>
      <c r="D257" s="4">
        <f t="shared" si="21"/>
        <v>108.94</v>
      </c>
    </row>
    <row r="258" spans="1:4" x14ac:dyDescent="0.3">
      <c r="A258" s="4">
        <v>25</v>
      </c>
      <c r="B258" s="4">
        <v>28.8</v>
      </c>
      <c r="C258" s="4">
        <f t="shared" si="20"/>
        <v>15.2</v>
      </c>
      <c r="D258" s="4">
        <f t="shared" si="21"/>
        <v>125.5</v>
      </c>
    </row>
    <row r="259" spans="1:4" x14ac:dyDescent="0.3">
      <c r="A259" s="4">
        <v>29.7</v>
      </c>
      <c r="B259" s="4">
        <v>28</v>
      </c>
      <c r="C259" s="4">
        <f t="shared" si="20"/>
        <v>-5.72</v>
      </c>
      <c r="D259" s="4">
        <f t="shared" si="21"/>
        <v>118.32</v>
      </c>
    </row>
    <row r="260" spans="1:4" x14ac:dyDescent="0.3">
      <c r="A260" s="4">
        <v>27.4</v>
      </c>
      <c r="B260" s="4">
        <v>28.5</v>
      </c>
      <c r="C260" s="4">
        <f t="shared" si="20"/>
        <v>4.01</v>
      </c>
      <c r="D260" s="4">
        <f t="shared" si="21"/>
        <v>123.06</v>
      </c>
    </row>
    <row r="261" spans="1:4" x14ac:dyDescent="0.3">
      <c r="A261" s="4">
        <v>29.15</v>
      </c>
      <c r="B261" s="4">
        <v>28.15</v>
      </c>
      <c r="C261" s="4">
        <f t="shared" si="20"/>
        <v>-3.43</v>
      </c>
      <c r="D261" s="4">
        <f t="shared" si="21"/>
        <v>118.84</v>
      </c>
    </row>
    <row r="262" spans="1:4" x14ac:dyDescent="0.3">
      <c r="A262" s="4">
        <v>27.6</v>
      </c>
      <c r="B262" s="4">
        <v>29.5</v>
      </c>
      <c r="C262" s="4">
        <f t="shared" si="20"/>
        <v>6.88</v>
      </c>
      <c r="D262" s="4">
        <f t="shared" si="21"/>
        <v>127.02</v>
      </c>
    </row>
    <row r="263" spans="1:4" x14ac:dyDescent="0.3">
      <c r="A263" s="4">
        <v>29.9</v>
      </c>
      <c r="B263" s="4">
        <v>29.5</v>
      </c>
      <c r="C263" s="4">
        <f t="shared" si="20"/>
        <v>-1.34</v>
      </c>
      <c r="D263" s="4">
        <f t="shared" si="21"/>
        <v>125.32</v>
      </c>
    </row>
    <row r="264" spans="1:4" x14ac:dyDescent="0.3">
      <c r="A264" s="4">
        <v>28.1</v>
      </c>
      <c r="B264" s="4">
        <v>27.65</v>
      </c>
      <c r="C264" s="4">
        <f t="shared" si="20"/>
        <v>-1.6</v>
      </c>
      <c r="D264" s="4">
        <f t="shared" si="21"/>
        <v>123.31</v>
      </c>
    </row>
    <row r="265" spans="1:4" x14ac:dyDescent="0.3">
      <c r="A265" s="4">
        <v>26.8</v>
      </c>
      <c r="B265" s="4">
        <v>27.6</v>
      </c>
      <c r="C265" s="4">
        <f t="shared" si="20"/>
        <v>2.99</v>
      </c>
      <c r="D265" s="4">
        <f t="shared" si="21"/>
        <v>127</v>
      </c>
    </row>
    <row r="267" spans="1:4" s="6" customFormat="1" x14ac:dyDescent="0.3">
      <c r="A267" s="5" t="s">
        <v>33</v>
      </c>
      <c r="B267" s="5">
        <v>2022</v>
      </c>
      <c r="C267" s="5"/>
      <c r="D267" s="5">
        <v>100</v>
      </c>
    </row>
    <row r="268" spans="1:4" x14ac:dyDescent="0.3">
      <c r="A268" s="4">
        <v>12.7</v>
      </c>
      <c r="B268" s="4">
        <v>13.5</v>
      </c>
      <c r="C268" s="4">
        <f t="shared" ref="C268:C293" si="22">ROUND((B268 - A268) / A268 * 100, 2)</f>
        <v>6.3</v>
      </c>
      <c r="D268" s="4">
        <f t="shared" ref="D268:D293" si="23">ROUND(D267 * (1 + C268 / 100), 2)</f>
        <v>106.3</v>
      </c>
    </row>
    <row r="269" spans="1:4" x14ac:dyDescent="0.3">
      <c r="A269" s="4">
        <v>13.5</v>
      </c>
      <c r="B269" s="4">
        <v>14.5</v>
      </c>
      <c r="C269" s="4">
        <f t="shared" si="22"/>
        <v>7.41</v>
      </c>
      <c r="D269" s="4">
        <f t="shared" si="23"/>
        <v>114.18</v>
      </c>
    </row>
    <row r="270" spans="1:4" x14ac:dyDescent="0.3">
      <c r="A270" s="4">
        <v>9.6</v>
      </c>
      <c r="B270" s="4">
        <v>8.8000000000000007</v>
      </c>
      <c r="C270" s="4">
        <f t="shared" si="22"/>
        <v>-8.33</v>
      </c>
      <c r="D270" s="4">
        <f t="shared" si="23"/>
        <v>104.67</v>
      </c>
    </row>
    <row r="271" spans="1:4" x14ac:dyDescent="0.3">
      <c r="A271" s="4">
        <v>8</v>
      </c>
      <c r="B271" s="4">
        <v>9.07</v>
      </c>
      <c r="C271" s="4">
        <f t="shared" si="22"/>
        <v>13.38</v>
      </c>
      <c r="D271" s="4">
        <f t="shared" si="23"/>
        <v>118.67</v>
      </c>
    </row>
    <row r="272" spans="1:4" x14ac:dyDescent="0.3">
      <c r="A272" s="4">
        <v>8.85</v>
      </c>
      <c r="B272" s="4">
        <v>9.1</v>
      </c>
      <c r="C272" s="4">
        <f t="shared" si="22"/>
        <v>2.82</v>
      </c>
      <c r="D272" s="4">
        <f t="shared" si="23"/>
        <v>122.02</v>
      </c>
    </row>
    <row r="273" spans="1:4" x14ac:dyDescent="0.3">
      <c r="A273" s="4">
        <v>8.94</v>
      </c>
      <c r="B273" s="4">
        <v>9.15</v>
      </c>
      <c r="C273" s="4">
        <f t="shared" si="22"/>
        <v>2.35</v>
      </c>
      <c r="D273" s="4">
        <f t="shared" si="23"/>
        <v>124.89</v>
      </c>
    </row>
    <row r="274" spans="1:4" x14ac:dyDescent="0.3">
      <c r="A274" s="4">
        <v>8.9</v>
      </c>
      <c r="B274" s="4">
        <v>9.5</v>
      </c>
      <c r="C274" s="4">
        <f t="shared" si="22"/>
        <v>6.74</v>
      </c>
      <c r="D274" s="4">
        <f t="shared" si="23"/>
        <v>133.31</v>
      </c>
    </row>
    <row r="275" spans="1:4" x14ac:dyDescent="0.3">
      <c r="A275" s="4">
        <v>8.9</v>
      </c>
      <c r="B275" s="4">
        <v>8.7200000000000006</v>
      </c>
      <c r="C275" s="4">
        <f t="shared" si="22"/>
        <v>-2.02</v>
      </c>
      <c r="D275" s="4">
        <f t="shared" si="23"/>
        <v>130.62</v>
      </c>
    </row>
    <row r="276" spans="1:4" x14ac:dyDescent="0.3">
      <c r="A276" s="4">
        <v>6.11</v>
      </c>
      <c r="B276" s="4">
        <v>5.93</v>
      </c>
      <c r="C276" s="4">
        <f t="shared" si="22"/>
        <v>-2.95</v>
      </c>
      <c r="D276" s="4">
        <f t="shared" si="23"/>
        <v>126.77</v>
      </c>
    </row>
    <row r="277" spans="1:4" x14ac:dyDescent="0.3">
      <c r="A277" s="4">
        <v>6.23</v>
      </c>
      <c r="B277" s="4">
        <v>7.5</v>
      </c>
      <c r="C277" s="4">
        <f t="shared" si="22"/>
        <v>20.39</v>
      </c>
      <c r="D277" s="4">
        <f t="shared" si="23"/>
        <v>152.62</v>
      </c>
    </row>
    <row r="278" spans="1:4" x14ac:dyDescent="0.3">
      <c r="A278" s="4">
        <v>7.12</v>
      </c>
      <c r="B278" s="4">
        <v>7.07</v>
      </c>
      <c r="C278" s="4">
        <f t="shared" si="22"/>
        <v>-0.7</v>
      </c>
      <c r="D278" s="4">
        <f t="shared" si="23"/>
        <v>151.55000000000001</v>
      </c>
    </row>
    <row r="279" spans="1:4" x14ac:dyDescent="0.3">
      <c r="A279" s="4">
        <v>6.6</v>
      </c>
      <c r="B279" s="4">
        <v>6.9</v>
      </c>
      <c r="C279" s="4">
        <f t="shared" si="22"/>
        <v>4.55</v>
      </c>
      <c r="D279" s="4">
        <f t="shared" si="23"/>
        <v>158.44999999999999</v>
      </c>
    </row>
    <row r="280" spans="1:4" x14ac:dyDescent="0.3">
      <c r="A280" s="4">
        <v>6.64</v>
      </c>
      <c r="B280" s="4">
        <v>6.63</v>
      </c>
      <c r="C280" s="4">
        <f t="shared" si="22"/>
        <v>-0.15</v>
      </c>
      <c r="D280" s="4">
        <f t="shared" si="23"/>
        <v>158.21</v>
      </c>
    </row>
    <row r="281" spans="1:4" x14ac:dyDescent="0.3">
      <c r="A281" s="4">
        <v>6.75</v>
      </c>
      <c r="B281" s="4">
        <v>7.45</v>
      </c>
      <c r="C281" s="4">
        <f t="shared" si="22"/>
        <v>10.37</v>
      </c>
      <c r="D281" s="4">
        <f t="shared" si="23"/>
        <v>174.62</v>
      </c>
    </row>
    <row r="282" spans="1:4" x14ac:dyDescent="0.3">
      <c r="A282" s="4">
        <v>7.64</v>
      </c>
      <c r="B282" s="4">
        <v>8.56</v>
      </c>
      <c r="C282" s="4">
        <f t="shared" si="22"/>
        <v>12.04</v>
      </c>
      <c r="D282" s="4">
        <f t="shared" si="23"/>
        <v>195.64</v>
      </c>
    </row>
    <row r="283" spans="1:4" x14ac:dyDescent="0.3">
      <c r="A283" s="4">
        <v>8.1999999999999993</v>
      </c>
      <c r="B283" s="4">
        <v>8.14</v>
      </c>
      <c r="C283" s="4">
        <f t="shared" si="22"/>
        <v>-0.73</v>
      </c>
      <c r="D283" s="4">
        <f t="shared" si="23"/>
        <v>194.21</v>
      </c>
    </row>
    <row r="284" spans="1:4" x14ac:dyDescent="0.3">
      <c r="A284" s="4">
        <v>15.4</v>
      </c>
      <c r="B284" s="4">
        <v>15.72</v>
      </c>
      <c r="C284" s="4">
        <f t="shared" si="22"/>
        <v>2.08</v>
      </c>
      <c r="D284" s="4">
        <f t="shared" si="23"/>
        <v>198.25</v>
      </c>
    </row>
    <row r="285" spans="1:4" x14ac:dyDescent="0.3">
      <c r="A285" s="4">
        <v>16.7</v>
      </c>
      <c r="B285" s="4">
        <v>16.18</v>
      </c>
      <c r="C285" s="4">
        <f t="shared" si="22"/>
        <v>-3.11</v>
      </c>
      <c r="D285" s="4">
        <f t="shared" si="23"/>
        <v>192.08</v>
      </c>
    </row>
    <row r="286" spans="1:4" x14ac:dyDescent="0.3">
      <c r="A286" s="4">
        <v>13.3</v>
      </c>
      <c r="B286" s="4">
        <v>12.9</v>
      </c>
      <c r="C286" s="4">
        <f t="shared" si="22"/>
        <v>-3.01</v>
      </c>
      <c r="D286" s="4">
        <f t="shared" si="23"/>
        <v>186.3</v>
      </c>
    </row>
    <row r="287" spans="1:4" x14ac:dyDescent="0.3">
      <c r="A287" s="4">
        <v>12.85</v>
      </c>
      <c r="B287" s="4">
        <v>15.1</v>
      </c>
      <c r="C287" s="4">
        <f t="shared" si="22"/>
        <v>17.510000000000002</v>
      </c>
      <c r="D287" s="4">
        <f t="shared" si="23"/>
        <v>218.92</v>
      </c>
    </row>
    <row r="288" spans="1:4" x14ac:dyDescent="0.3">
      <c r="A288" s="4">
        <v>14.45</v>
      </c>
      <c r="B288" s="4">
        <v>14.05</v>
      </c>
      <c r="C288" s="4">
        <f t="shared" si="22"/>
        <v>-2.77</v>
      </c>
      <c r="D288" s="4">
        <f t="shared" si="23"/>
        <v>212.86</v>
      </c>
    </row>
    <row r="289" spans="1:4" x14ac:dyDescent="0.3">
      <c r="A289" s="4">
        <v>13.5</v>
      </c>
      <c r="B289" s="4">
        <v>13.08</v>
      </c>
      <c r="C289" s="4">
        <f t="shared" si="22"/>
        <v>-3.11</v>
      </c>
      <c r="D289" s="4">
        <f t="shared" si="23"/>
        <v>206.24</v>
      </c>
    </row>
    <row r="290" spans="1:4" x14ac:dyDescent="0.3">
      <c r="A290" s="4">
        <v>13.3</v>
      </c>
      <c r="B290" s="4">
        <v>12.9</v>
      </c>
      <c r="C290" s="4">
        <f t="shared" si="22"/>
        <v>-3.01</v>
      </c>
      <c r="D290" s="4">
        <f t="shared" si="23"/>
        <v>200.03</v>
      </c>
    </row>
    <row r="291" spans="1:4" x14ac:dyDescent="0.3">
      <c r="A291" s="4">
        <v>11.28</v>
      </c>
      <c r="B291" s="4">
        <v>10.74</v>
      </c>
      <c r="C291" s="4">
        <f t="shared" si="22"/>
        <v>-4.79</v>
      </c>
      <c r="D291" s="4">
        <f t="shared" si="23"/>
        <v>190.45</v>
      </c>
    </row>
    <row r="292" spans="1:4" x14ac:dyDescent="0.3">
      <c r="A292" s="4">
        <v>11</v>
      </c>
      <c r="B292" s="4">
        <v>10.77</v>
      </c>
      <c r="C292" s="4">
        <f t="shared" si="22"/>
        <v>-2.09</v>
      </c>
      <c r="D292" s="4">
        <f t="shared" si="23"/>
        <v>186.47</v>
      </c>
    </row>
    <row r="293" spans="1:4" x14ac:dyDescent="0.3">
      <c r="A293" s="4">
        <v>10.9</v>
      </c>
      <c r="B293" s="4">
        <v>10.7</v>
      </c>
      <c r="C293" s="4">
        <f t="shared" si="22"/>
        <v>-1.83</v>
      </c>
      <c r="D293" s="4">
        <f t="shared" si="23"/>
        <v>183.06</v>
      </c>
    </row>
    <row r="294" spans="1:4" x14ac:dyDescent="0.3">
      <c r="A294" s="4">
        <v>9.3000000000000007</v>
      </c>
    </row>
    <row r="296" spans="1:4" s="6" customFormat="1" x14ac:dyDescent="0.3">
      <c r="A296" s="5" t="s">
        <v>34</v>
      </c>
      <c r="B296" s="5">
        <v>2021</v>
      </c>
      <c r="C296" s="5"/>
      <c r="D296" s="5">
        <v>100</v>
      </c>
    </row>
    <row r="297" spans="1:4" x14ac:dyDescent="0.3">
      <c r="A297" s="4">
        <v>21.15</v>
      </c>
      <c r="B297" s="4">
        <v>20.5</v>
      </c>
      <c r="C297" s="4">
        <f t="shared" ref="C297:C306" si="24">ROUND((B297 - A297) / A297 * 100, 2)</f>
        <v>-3.07</v>
      </c>
      <c r="D297" s="4">
        <f t="shared" ref="D297:D306" si="25">ROUND(D296 * (1 + C297 / 100), 2)</f>
        <v>96.93</v>
      </c>
    </row>
    <row r="298" spans="1:4" x14ac:dyDescent="0.3">
      <c r="A298" s="4">
        <v>21</v>
      </c>
      <c r="B298" s="4">
        <v>23.4</v>
      </c>
      <c r="C298" s="4">
        <f t="shared" si="24"/>
        <v>11.43</v>
      </c>
      <c r="D298" s="4">
        <f t="shared" si="25"/>
        <v>108.01</v>
      </c>
    </row>
    <row r="299" spans="1:4" x14ac:dyDescent="0.3">
      <c r="A299" s="4">
        <v>23.8</v>
      </c>
      <c r="B299" s="4">
        <v>24.9</v>
      </c>
      <c r="C299" s="4">
        <f t="shared" si="24"/>
        <v>4.62</v>
      </c>
      <c r="D299" s="4">
        <f t="shared" si="25"/>
        <v>113</v>
      </c>
    </row>
    <row r="300" spans="1:4" x14ac:dyDescent="0.3">
      <c r="A300" s="4">
        <v>25.25</v>
      </c>
      <c r="B300" s="4">
        <v>24.9</v>
      </c>
      <c r="C300" s="4">
        <f t="shared" si="24"/>
        <v>-1.39</v>
      </c>
      <c r="D300" s="4">
        <f t="shared" si="25"/>
        <v>111.43</v>
      </c>
    </row>
    <row r="301" spans="1:4" x14ac:dyDescent="0.3">
      <c r="A301" s="4">
        <v>25.3</v>
      </c>
      <c r="B301" s="4">
        <v>26.5</v>
      </c>
      <c r="C301" s="4">
        <f t="shared" si="24"/>
        <v>4.74</v>
      </c>
      <c r="D301" s="4">
        <f t="shared" si="25"/>
        <v>116.71</v>
      </c>
    </row>
    <row r="302" spans="1:4" x14ac:dyDescent="0.3">
      <c r="A302" s="4">
        <v>26.9</v>
      </c>
      <c r="B302" s="4">
        <v>28.75</v>
      </c>
      <c r="C302" s="4">
        <f t="shared" si="24"/>
        <v>6.88</v>
      </c>
      <c r="D302" s="4">
        <f t="shared" si="25"/>
        <v>124.74</v>
      </c>
    </row>
    <row r="303" spans="1:4" x14ac:dyDescent="0.3">
      <c r="A303" s="4">
        <v>27.9</v>
      </c>
      <c r="B303" s="4">
        <v>27.2</v>
      </c>
      <c r="C303" s="4">
        <f t="shared" si="24"/>
        <v>-2.5099999999999998</v>
      </c>
      <c r="D303" s="4">
        <f t="shared" si="25"/>
        <v>121.61</v>
      </c>
    </row>
    <row r="304" spans="1:4" x14ac:dyDescent="0.3">
      <c r="A304" s="4">
        <v>31.2</v>
      </c>
      <c r="B304" s="4">
        <v>33.200000000000003</v>
      </c>
      <c r="C304" s="4">
        <f t="shared" si="24"/>
        <v>6.41</v>
      </c>
      <c r="D304" s="4">
        <f t="shared" si="25"/>
        <v>129.41</v>
      </c>
    </row>
    <row r="305" spans="1:4" x14ac:dyDescent="0.3">
      <c r="A305" s="4">
        <v>30.6</v>
      </c>
      <c r="B305" s="4">
        <v>29.8</v>
      </c>
      <c r="C305" s="4">
        <f t="shared" si="24"/>
        <v>-2.61</v>
      </c>
      <c r="D305" s="4">
        <f t="shared" si="25"/>
        <v>126.03</v>
      </c>
    </row>
    <row r="306" spans="1:4" x14ac:dyDescent="0.3">
      <c r="A306" s="4">
        <v>27.65</v>
      </c>
      <c r="B306" s="4">
        <v>26.25</v>
      </c>
      <c r="C306" s="4">
        <f t="shared" si="24"/>
        <v>-5.0599999999999996</v>
      </c>
      <c r="D306" s="4">
        <f t="shared" si="25"/>
        <v>119.65</v>
      </c>
    </row>
    <row r="307" spans="1:4" x14ac:dyDescent="0.3">
      <c r="A307" s="4">
        <v>24</v>
      </c>
    </row>
    <row r="309" spans="1:4" s="6" customFormat="1" x14ac:dyDescent="0.3">
      <c r="A309" s="5" t="s">
        <v>36</v>
      </c>
      <c r="B309" s="5">
        <v>2023</v>
      </c>
      <c r="C309" s="5"/>
      <c r="D309" s="5">
        <v>100</v>
      </c>
    </row>
    <row r="310" spans="1:4" x14ac:dyDescent="0.3">
      <c r="A310" s="4">
        <v>7.11</v>
      </c>
      <c r="B310" s="4">
        <v>6.75</v>
      </c>
      <c r="C310" s="4">
        <f t="shared" ref="C310:C332" si="26">ROUND((B310 - A310) / A310 * 100, 2)</f>
        <v>-5.0599999999999996</v>
      </c>
      <c r="D310" s="4">
        <f t="shared" ref="D310:D332" si="27">ROUND(D309 * (1 + C310 / 100), 2)</f>
        <v>94.94</v>
      </c>
    </row>
    <row r="311" spans="1:4" x14ac:dyDescent="0.3">
      <c r="A311" s="4">
        <v>7.22</v>
      </c>
      <c r="B311" s="4">
        <v>7.06</v>
      </c>
      <c r="C311" s="4">
        <f t="shared" si="26"/>
        <v>-2.2200000000000002</v>
      </c>
      <c r="D311" s="4">
        <f t="shared" si="27"/>
        <v>92.83</v>
      </c>
    </row>
    <row r="312" spans="1:4" x14ac:dyDescent="0.3">
      <c r="A312" s="4">
        <v>7.34</v>
      </c>
      <c r="B312" s="4">
        <v>7.75</v>
      </c>
      <c r="C312" s="4">
        <f t="shared" si="26"/>
        <v>5.59</v>
      </c>
      <c r="D312" s="4">
        <f t="shared" si="27"/>
        <v>98.02</v>
      </c>
    </row>
    <row r="313" spans="1:4" x14ac:dyDescent="0.3">
      <c r="A313" s="4">
        <v>7.5</v>
      </c>
      <c r="B313" s="4">
        <v>7.11</v>
      </c>
      <c r="C313" s="4">
        <f t="shared" si="26"/>
        <v>-5.2</v>
      </c>
      <c r="D313" s="4">
        <f t="shared" si="27"/>
        <v>92.92</v>
      </c>
    </row>
    <row r="314" spans="1:4" x14ac:dyDescent="0.3">
      <c r="A314" s="4">
        <v>7.35</v>
      </c>
      <c r="B314" s="4">
        <v>7.81</v>
      </c>
      <c r="C314" s="4">
        <f t="shared" si="26"/>
        <v>6.26</v>
      </c>
      <c r="D314" s="4">
        <f t="shared" si="27"/>
        <v>98.74</v>
      </c>
    </row>
    <row r="315" spans="1:4" x14ac:dyDescent="0.3">
      <c r="A315" s="4">
        <v>7.96</v>
      </c>
      <c r="B315" s="4">
        <v>8.4</v>
      </c>
      <c r="C315" s="4">
        <f t="shared" si="26"/>
        <v>5.53</v>
      </c>
      <c r="D315" s="4">
        <f t="shared" si="27"/>
        <v>104.2</v>
      </c>
    </row>
    <row r="316" spans="1:4" x14ac:dyDescent="0.3">
      <c r="A316" s="4">
        <v>9.0500000000000007</v>
      </c>
      <c r="B316" s="4">
        <v>10.199999999999999</v>
      </c>
      <c r="C316" s="4">
        <f t="shared" si="26"/>
        <v>12.71</v>
      </c>
      <c r="D316" s="4">
        <f t="shared" si="27"/>
        <v>117.44</v>
      </c>
    </row>
    <row r="317" spans="1:4" x14ac:dyDescent="0.3">
      <c r="A317" s="4">
        <v>10.32</v>
      </c>
      <c r="B317" s="4">
        <v>12.9</v>
      </c>
      <c r="C317" s="4">
        <f t="shared" si="26"/>
        <v>25</v>
      </c>
      <c r="D317" s="4">
        <f t="shared" si="27"/>
        <v>146.80000000000001</v>
      </c>
    </row>
    <row r="318" spans="1:4" x14ac:dyDescent="0.3">
      <c r="A318" s="4">
        <v>12.4</v>
      </c>
      <c r="B318" s="4">
        <v>11.5</v>
      </c>
      <c r="C318" s="4">
        <f t="shared" si="26"/>
        <v>-7.26</v>
      </c>
      <c r="D318" s="4">
        <f t="shared" si="27"/>
        <v>136.13999999999999</v>
      </c>
    </row>
    <row r="319" spans="1:4" x14ac:dyDescent="0.3">
      <c r="A319" s="4">
        <v>12.1</v>
      </c>
      <c r="B319" s="4">
        <v>11.4</v>
      </c>
      <c r="C319" s="4">
        <f t="shared" si="26"/>
        <v>-5.79</v>
      </c>
      <c r="D319" s="4">
        <f t="shared" si="27"/>
        <v>128.26</v>
      </c>
    </row>
    <row r="320" spans="1:4" x14ac:dyDescent="0.3">
      <c r="A320" s="4">
        <v>11.7</v>
      </c>
      <c r="B320" s="4">
        <v>12.6</v>
      </c>
      <c r="C320" s="4">
        <f t="shared" si="26"/>
        <v>7.69</v>
      </c>
      <c r="D320" s="4">
        <f t="shared" si="27"/>
        <v>138.12</v>
      </c>
    </row>
    <row r="321" spans="1:4" x14ac:dyDescent="0.3">
      <c r="A321" s="4">
        <v>12</v>
      </c>
      <c r="B321" s="4">
        <v>13.1</v>
      </c>
      <c r="C321" s="4">
        <f t="shared" si="26"/>
        <v>9.17</v>
      </c>
      <c r="D321" s="4">
        <f t="shared" si="27"/>
        <v>150.79</v>
      </c>
    </row>
    <row r="322" spans="1:4" x14ac:dyDescent="0.3">
      <c r="A322" s="4">
        <v>13.5</v>
      </c>
      <c r="B322" s="4">
        <v>13.05</v>
      </c>
      <c r="C322" s="4">
        <f t="shared" si="26"/>
        <v>-3.33</v>
      </c>
      <c r="D322" s="4">
        <f t="shared" si="27"/>
        <v>145.77000000000001</v>
      </c>
    </row>
    <row r="323" spans="1:4" x14ac:dyDescent="0.3">
      <c r="A323" s="4">
        <v>13.15</v>
      </c>
      <c r="B323" s="4">
        <v>13</v>
      </c>
      <c r="C323" s="4">
        <f t="shared" si="26"/>
        <v>-1.1399999999999999</v>
      </c>
      <c r="D323" s="4">
        <f t="shared" si="27"/>
        <v>144.11000000000001</v>
      </c>
    </row>
    <row r="324" spans="1:4" x14ac:dyDescent="0.3">
      <c r="A324" s="4">
        <v>14</v>
      </c>
      <c r="B324" s="4">
        <v>15.5</v>
      </c>
      <c r="C324" s="4">
        <f t="shared" si="26"/>
        <v>10.71</v>
      </c>
      <c r="D324" s="4">
        <f t="shared" si="27"/>
        <v>159.54</v>
      </c>
    </row>
    <row r="325" spans="1:4" x14ac:dyDescent="0.3">
      <c r="A325" s="4">
        <v>16.25</v>
      </c>
      <c r="B325" s="4">
        <v>19</v>
      </c>
      <c r="C325" s="4">
        <f t="shared" si="26"/>
        <v>16.920000000000002</v>
      </c>
      <c r="D325" s="4">
        <f t="shared" si="27"/>
        <v>186.53</v>
      </c>
    </row>
    <row r="326" spans="1:4" x14ac:dyDescent="0.3">
      <c r="A326" s="4">
        <v>18.399999999999999</v>
      </c>
      <c r="B326" s="4">
        <v>19.8</v>
      </c>
      <c r="C326" s="4">
        <f t="shared" si="26"/>
        <v>7.61</v>
      </c>
      <c r="D326" s="4">
        <f t="shared" si="27"/>
        <v>200.72</v>
      </c>
    </row>
    <row r="327" spans="1:4" x14ac:dyDescent="0.3">
      <c r="A327" s="4">
        <v>20.5</v>
      </c>
      <c r="B327" s="4">
        <v>19.600000000000001</v>
      </c>
      <c r="C327" s="4">
        <f t="shared" si="26"/>
        <v>-4.3899999999999997</v>
      </c>
      <c r="D327" s="4">
        <f t="shared" si="27"/>
        <v>191.91</v>
      </c>
    </row>
    <row r="328" spans="1:4" x14ac:dyDescent="0.3">
      <c r="A328" s="4">
        <v>17.600000000000001</v>
      </c>
      <c r="B328" s="4">
        <v>18.25</v>
      </c>
      <c r="C328" s="4">
        <f t="shared" si="26"/>
        <v>3.69</v>
      </c>
      <c r="D328" s="4">
        <f t="shared" si="27"/>
        <v>198.99</v>
      </c>
    </row>
    <row r="329" spans="1:4" x14ac:dyDescent="0.3">
      <c r="A329" s="4">
        <v>15.6</v>
      </c>
      <c r="B329" s="4">
        <v>15.2</v>
      </c>
      <c r="C329" s="4">
        <f t="shared" si="26"/>
        <v>-2.56</v>
      </c>
      <c r="D329" s="4">
        <f t="shared" si="27"/>
        <v>193.9</v>
      </c>
    </row>
    <row r="330" spans="1:4" x14ac:dyDescent="0.3">
      <c r="A330" s="4">
        <v>15.65</v>
      </c>
      <c r="B330" s="4">
        <v>15.3</v>
      </c>
      <c r="C330" s="4">
        <f t="shared" si="26"/>
        <v>-2.2400000000000002</v>
      </c>
      <c r="D330" s="4">
        <f t="shared" si="27"/>
        <v>189.56</v>
      </c>
    </row>
    <row r="331" spans="1:4" x14ac:dyDescent="0.3">
      <c r="A331" s="4">
        <v>14.6</v>
      </c>
      <c r="B331" s="4">
        <v>15.85</v>
      </c>
      <c r="C331" s="4">
        <f t="shared" si="26"/>
        <v>8.56</v>
      </c>
      <c r="D331" s="4">
        <f t="shared" si="27"/>
        <v>205.79</v>
      </c>
    </row>
    <row r="332" spans="1:4" x14ac:dyDescent="0.3">
      <c r="A332" s="4">
        <v>15.1</v>
      </c>
      <c r="B332" s="4">
        <v>15.75</v>
      </c>
      <c r="C332" s="4">
        <f t="shared" si="26"/>
        <v>4.3</v>
      </c>
      <c r="D332" s="4">
        <f t="shared" si="27"/>
        <v>214.64</v>
      </c>
    </row>
    <row r="334" spans="1:4" s="6" customFormat="1" x14ac:dyDescent="0.3">
      <c r="A334" s="5" t="s">
        <v>37</v>
      </c>
      <c r="B334" s="5">
        <v>2023</v>
      </c>
      <c r="C334" s="5"/>
      <c r="D334" s="5">
        <v>200</v>
      </c>
    </row>
    <row r="335" spans="1:4" x14ac:dyDescent="0.3">
      <c r="A335" s="4">
        <v>9.6</v>
      </c>
      <c r="B335" s="4">
        <v>9.9499999999999993</v>
      </c>
      <c r="C335" s="4">
        <f t="shared" ref="C335:C357" si="28">ROUND((B335 - A335) / A335 * 100, 2)</f>
        <v>3.65</v>
      </c>
      <c r="D335" s="4">
        <f t="shared" ref="D335:D357" si="29">ROUND(D334 * (1 + C335 / 100), 2)</f>
        <v>207.3</v>
      </c>
    </row>
    <row r="336" spans="1:4" x14ac:dyDescent="0.3">
      <c r="A336" s="4">
        <v>10.1</v>
      </c>
      <c r="B336" s="4">
        <v>9.3699999999999992</v>
      </c>
      <c r="C336" s="4">
        <f t="shared" si="28"/>
        <v>-7.23</v>
      </c>
      <c r="D336" s="4">
        <f t="shared" si="29"/>
        <v>192.31</v>
      </c>
    </row>
    <row r="337" spans="1:4" x14ac:dyDescent="0.3">
      <c r="A337" s="4">
        <v>8.9499999999999993</v>
      </c>
      <c r="B337" s="4">
        <v>9.1199999999999992</v>
      </c>
      <c r="C337" s="4">
        <f t="shared" si="28"/>
        <v>1.9</v>
      </c>
      <c r="D337" s="4">
        <f t="shared" si="29"/>
        <v>195.96</v>
      </c>
    </row>
    <row r="338" spans="1:4" x14ac:dyDescent="0.3">
      <c r="A338" s="4">
        <v>9.65</v>
      </c>
      <c r="B338" s="4">
        <v>10.17</v>
      </c>
      <c r="C338" s="4">
        <f t="shared" si="28"/>
        <v>5.39</v>
      </c>
      <c r="D338" s="4">
        <f t="shared" si="29"/>
        <v>206.52</v>
      </c>
    </row>
    <row r="339" spans="1:4" x14ac:dyDescent="0.3">
      <c r="A339" s="4">
        <v>10.4</v>
      </c>
      <c r="B339" s="4">
        <v>10.31</v>
      </c>
      <c r="C339" s="4">
        <f t="shared" si="28"/>
        <v>-0.87</v>
      </c>
      <c r="D339" s="4">
        <f t="shared" si="29"/>
        <v>204.72</v>
      </c>
    </row>
    <row r="340" spans="1:4" x14ac:dyDescent="0.3">
      <c r="A340" s="4">
        <v>10.87</v>
      </c>
      <c r="B340" s="4">
        <v>10.17</v>
      </c>
      <c r="C340" s="4">
        <f t="shared" si="28"/>
        <v>-6.44</v>
      </c>
      <c r="D340" s="4">
        <f t="shared" si="29"/>
        <v>191.54</v>
      </c>
    </row>
    <row r="341" spans="1:4" x14ac:dyDescent="0.3">
      <c r="A341" s="4">
        <v>10.6</v>
      </c>
      <c r="B341" s="4">
        <v>11.2</v>
      </c>
      <c r="C341" s="4">
        <f t="shared" si="28"/>
        <v>5.66</v>
      </c>
      <c r="D341" s="4">
        <f t="shared" si="29"/>
        <v>202.38</v>
      </c>
    </row>
    <row r="342" spans="1:4" x14ac:dyDescent="0.3">
      <c r="A342" s="4">
        <v>10.6</v>
      </c>
      <c r="B342" s="4">
        <v>11.66</v>
      </c>
      <c r="C342" s="4">
        <f t="shared" si="28"/>
        <v>10</v>
      </c>
      <c r="D342" s="4">
        <f t="shared" si="29"/>
        <v>222.62</v>
      </c>
    </row>
    <row r="343" spans="1:4" x14ac:dyDescent="0.3">
      <c r="A343" s="4">
        <v>11.2</v>
      </c>
      <c r="B343" s="4">
        <v>11.28</v>
      </c>
      <c r="C343" s="4">
        <f t="shared" si="28"/>
        <v>0.71</v>
      </c>
      <c r="D343" s="4">
        <f t="shared" si="29"/>
        <v>224.2</v>
      </c>
    </row>
    <row r="344" spans="1:4" x14ac:dyDescent="0.3">
      <c r="A344" s="4">
        <v>11.55</v>
      </c>
      <c r="B344" s="4">
        <v>11.28</v>
      </c>
      <c r="C344" s="4">
        <f t="shared" si="28"/>
        <v>-2.34</v>
      </c>
      <c r="D344" s="4">
        <f t="shared" si="29"/>
        <v>218.95</v>
      </c>
    </row>
    <row r="345" spans="1:4" x14ac:dyDescent="0.3">
      <c r="A345" s="4">
        <v>11.35</v>
      </c>
      <c r="B345" s="4">
        <v>12.7</v>
      </c>
      <c r="C345" s="4">
        <f t="shared" si="28"/>
        <v>11.89</v>
      </c>
      <c r="D345" s="4">
        <f t="shared" si="29"/>
        <v>244.98</v>
      </c>
    </row>
    <row r="346" spans="1:4" x14ac:dyDescent="0.3">
      <c r="A346" s="4">
        <v>12.9</v>
      </c>
      <c r="B346" s="4">
        <v>12.66</v>
      </c>
      <c r="C346" s="4">
        <f t="shared" si="28"/>
        <v>-1.86</v>
      </c>
      <c r="D346" s="4">
        <f t="shared" si="29"/>
        <v>240.42</v>
      </c>
    </row>
    <row r="347" spans="1:4" x14ac:dyDescent="0.3">
      <c r="A347" s="4">
        <v>12.5</v>
      </c>
      <c r="B347" s="4">
        <v>12.32</v>
      </c>
      <c r="C347" s="4">
        <f t="shared" si="28"/>
        <v>-1.44</v>
      </c>
      <c r="D347" s="4">
        <f t="shared" si="29"/>
        <v>236.96</v>
      </c>
    </row>
    <row r="348" spans="1:4" x14ac:dyDescent="0.3">
      <c r="A348" s="4">
        <v>12.3</v>
      </c>
      <c r="B348" s="4">
        <v>11.37</v>
      </c>
      <c r="C348" s="4">
        <f t="shared" si="28"/>
        <v>-7.56</v>
      </c>
      <c r="D348" s="4">
        <f t="shared" si="29"/>
        <v>219.05</v>
      </c>
    </row>
    <row r="349" spans="1:4" x14ac:dyDescent="0.3">
      <c r="A349" s="4">
        <v>11.74</v>
      </c>
      <c r="B349" s="4">
        <v>11.53</v>
      </c>
      <c r="C349" s="4">
        <f t="shared" si="28"/>
        <v>-1.79</v>
      </c>
      <c r="D349" s="4">
        <f t="shared" si="29"/>
        <v>215.13</v>
      </c>
    </row>
    <row r="350" spans="1:4" x14ac:dyDescent="0.3">
      <c r="A350" s="4">
        <v>11.6</v>
      </c>
      <c r="B350" s="4">
        <v>12.4</v>
      </c>
      <c r="C350" s="4">
        <f t="shared" si="28"/>
        <v>6.9</v>
      </c>
      <c r="D350" s="4">
        <f t="shared" si="29"/>
        <v>229.97</v>
      </c>
    </row>
    <row r="351" spans="1:4" x14ac:dyDescent="0.3">
      <c r="A351" s="4">
        <v>12.4</v>
      </c>
      <c r="B351" s="4">
        <v>12.41</v>
      </c>
      <c r="C351" s="4">
        <f t="shared" si="28"/>
        <v>0.08</v>
      </c>
      <c r="D351" s="4">
        <f t="shared" si="29"/>
        <v>230.15</v>
      </c>
    </row>
    <row r="352" spans="1:4" x14ac:dyDescent="0.3">
      <c r="A352" s="4">
        <v>12.2</v>
      </c>
      <c r="B352" s="4">
        <v>12.03</v>
      </c>
      <c r="C352" s="4">
        <f t="shared" si="28"/>
        <v>-1.39</v>
      </c>
      <c r="D352" s="4">
        <f t="shared" si="29"/>
        <v>226.95</v>
      </c>
    </row>
    <row r="353" spans="1:4" x14ac:dyDescent="0.3">
      <c r="A353" s="4">
        <v>12.2</v>
      </c>
      <c r="B353" s="4">
        <v>12.03</v>
      </c>
      <c r="C353" s="4">
        <f t="shared" si="28"/>
        <v>-1.39</v>
      </c>
      <c r="D353" s="4">
        <f t="shared" si="29"/>
        <v>223.8</v>
      </c>
    </row>
    <row r="354" spans="1:4" x14ac:dyDescent="0.3">
      <c r="A354" s="4">
        <v>11.7</v>
      </c>
      <c r="B354" s="4">
        <v>12.95</v>
      </c>
      <c r="C354" s="4">
        <f t="shared" si="28"/>
        <v>10.68</v>
      </c>
      <c r="D354" s="4">
        <f t="shared" si="29"/>
        <v>247.7</v>
      </c>
    </row>
    <row r="355" spans="1:4" x14ac:dyDescent="0.3">
      <c r="A355" s="4">
        <v>12.55</v>
      </c>
      <c r="B355" s="4">
        <v>12.2</v>
      </c>
      <c r="C355" s="4">
        <f t="shared" si="28"/>
        <v>-2.79</v>
      </c>
      <c r="D355" s="4">
        <f t="shared" si="29"/>
        <v>240.79</v>
      </c>
    </row>
    <row r="356" spans="1:4" x14ac:dyDescent="0.3">
      <c r="A356" s="4">
        <v>10.65</v>
      </c>
      <c r="B356" s="4">
        <v>11.2</v>
      </c>
      <c r="C356" s="4">
        <f t="shared" si="28"/>
        <v>5.16</v>
      </c>
      <c r="D356" s="4">
        <f t="shared" si="29"/>
        <v>253.21</v>
      </c>
    </row>
    <row r="357" spans="1:4" x14ac:dyDescent="0.3">
      <c r="A357" s="4">
        <v>10.85</v>
      </c>
      <c r="B357" s="4">
        <v>11.4</v>
      </c>
      <c r="C357" s="4">
        <f t="shared" si="28"/>
        <v>5.07</v>
      </c>
      <c r="D357" s="4">
        <f t="shared" si="29"/>
        <v>266.05</v>
      </c>
    </row>
    <row r="358" spans="1:4" x14ac:dyDescent="0.3">
      <c r="A358" s="4">
        <v>11.5</v>
      </c>
    </row>
    <row r="360" spans="1:4" s="6" customFormat="1" x14ac:dyDescent="0.3">
      <c r="A360" s="5" t="s">
        <v>38</v>
      </c>
      <c r="B360" s="5">
        <v>2023</v>
      </c>
      <c r="C360" s="5"/>
      <c r="D360" s="5">
        <v>200</v>
      </c>
    </row>
    <row r="361" spans="1:4" x14ac:dyDescent="0.3">
      <c r="A361" s="4">
        <v>12.56</v>
      </c>
      <c r="B361" s="4">
        <v>16.09</v>
      </c>
      <c r="C361" s="4">
        <f t="shared" ref="C361:C372" si="30">ROUND((B361 - A361) / A361 * 100, 2)</f>
        <v>28.11</v>
      </c>
      <c r="D361" s="4">
        <f t="shared" ref="D361:D372" si="31">ROUND(D360 * (1 + C361 / 100), 2)</f>
        <v>256.22000000000003</v>
      </c>
    </row>
    <row r="362" spans="1:4" x14ac:dyDescent="0.3">
      <c r="A362" s="4">
        <v>16.5</v>
      </c>
      <c r="B362" s="4">
        <v>17.43</v>
      </c>
      <c r="C362" s="4">
        <f t="shared" si="30"/>
        <v>5.64</v>
      </c>
      <c r="D362" s="4">
        <f t="shared" si="31"/>
        <v>270.67</v>
      </c>
    </row>
    <row r="363" spans="1:4" x14ac:dyDescent="0.3">
      <c r="A363" s="4">
        <v>18.399999999999999</v>
      </c>
      <c r="B363" s="4">
        <v>17.52</v>
      </c>
      <c r="C363" s="4">
        <f t="shared" si="30"/>
        <v>-4.78</v>
      </c>
      <c r="D363" s="4">
        <f t="shared" si="31"/>
        <v>257.73</v>
      </c>
    </row>
    <row r="364" spans="1:4" x14ac:dyDescent="0.3">
      <c r="A364" s="4">
        <v>13.4</v>
      </c>
      <c r="B364" s="4">
        <v>13.5</v>
      </c>
      <c r="C364" s="4">
        <f t="shared" si="30"/>
        <v>0.75</v>
      </c>
      <c r="D364" s="4">
        <f t="shared" si="31"/>
        <v>259.66000000000003</v>
      </c>
    </row>
    <row r="365" spans="1:4" x14ac:dyDescent="0.3">
      <c r="A365" s="4">
        <v>15.4</v>
      </c>
      <c r="B365" s="4">
        <v>15.6</v>
      </c>
      <c r="C365" s="4">
        <f t="shared" si="30"/>
        <v>1.3</v>
      </c>
      <c r="D365" s="4">
        <f t="shared" si="31"/>
        <v>263.04000000000002</v>
      </c>
    </row>
    <row r="366" spans="1:4" x14ac:dyDescent="0.3">
      <c r="A366" s="4">
        <v>15</v>
      </c>
      <c r="B366" s="4">
        <v>15.35</v>
      </c>
      <c r="C366" s="4">
        <f t="shared" si="30"/>
        <v>2.33</v>
      </c>
      <c r="D366" s="4">
        <f t="shared" si="31"/>
        <v>269.17</v>
      </c>
    </row>
    <row r="367" spans="1:4" x14ac:dyDescent="0.3">
      <c r="A367" s="4">
        <v>15</v>
      </c>
      <c r="B367" s="4">
        <v>14.5</v>
      </c>
      <c r="C367" s="4">
        <f t="shared" si="30"/>
        <v>-3.33</v>
      </c>
      <c r="D367" s="4">
        <f t="shared" si="31"/>
        <v>260.20999999999998</v>
      </c>
    </row>
    <row r="368" spans="1:4" x14ac:dyDescent="0.3">
      <c r="A368" s="4">
        <v>12.8</v>
      </c>
      <c r="B368" s="4">
        <v>12.4</v>
      </c>
      <c r="C368" s="4">
        <f t="shared" si="30"/>
        <v>-3.13</v>
      </c>
      <c r="D368" s="4">
        <f t="shared" si="31"/>
        <v>252.07</v>
      </c>
    </row>
    <row r="369" spans="1:4" x14ac:dyDescent="0.3">
      <c r="A369" s="4">
        <v>13.45</v>
      </c>
      <c r="B369" s="4">
        <v>13</v>
      </c>
      <c r="C369" s="4">
        <f t="shared" si="30"/>
        <v>-3.35</v>
      </c>
      <c r="D369" s="4">
        <f t="shared" si="31"/>
        <v>243.63</v>
      </c>
    </row>
    <row r="370" spans="1:4" x14ac:dyDescent="0.3">
      <c r="A370" s="4">
        <v>13.4</v>
      </c>
      <c r="B370" s="4">
        <v>13</v>
      </c>
      <c r="C370" s="4">
        <f t="shared" si="30"/>
        <v>-2.99</v>
      </c>
      <c r="D370" s="4">
        <f t="shared" si="31"/>
        <v>236.35</v>
      </c>
    </row>
    <row r="371" spans="1:4" x14ac:dyDescent="0.3">
      <c r="A371" s="4">
        <v>13.15</v>
      </c>
      <c r="B371" s="4">
        <v>15.5</v>
      </c>
      <c r="C371" s="4">
        <f t="shared" si="30"/>
        <v>17.87</v>
      </c>
      <c r="D371" s="4">
        <f t="shared" si="31"/>
        <v>278.58999999999997</v>
      </c>
    </row>
    <row r="372" spans="1:4" x14ac:dyDescent="0.3">
      <c r="A372" s="4">
        <v>14.75</v>
      </c>
      <c r="B372" s="4">
        <v>14.8</v>
      </c>
      <c r="C372" s="4">
        <f t="shared" si="30"/>
        <v>0.34</v>
      </c>
      <c r="D372" s="4">
        <f t="shared" si="31"/>
        <v>279.54000000000002</v>
      </c>
    </row>
    <row r="373" spans="1:4" x14ac:dyDescent="0.3">
      <c r="A373" s="4">
        <v>15.8</v>
      </c>
    </row>
    <row r="375" spans="1:4" s="6" customFormat="1" x14ac:dyDescent="0.3">
      <c r="A375" s="5" t="s">
        <v>39</v>
      </c>
      <c r="B375" s="5">
        <v>2023</v>
      </c>
      <c r="C375" s="5"/>
      <c r="D375" s="5">
        <v>200</v>
      </c>
    </row>
    <row r="376" spans="1:4" x14ac:dyDescent="0.3">
      <c r="A376" s="4">
        <v>52.4</v>
      </c>
      <c r="B376" s="4">
        <v>51</v>
      </c>
      <c r="C376" s="4">
        <f t="shared" ref="C376:C383" si="32">ROUND((B376 - A376) / A376 * 100, 2)</f>
        <v>-2.67</v>
      </c>
      <c r="D376" s="4">
        <f t="shared" ref="D376:D383" si="33">ROUND(D375 * (1 + C376 / 100), 2)</f>
        <v>194.66</v>
      </c>
    </row>
    <row r="377" spans="1:4" x14ac:dyDescent="0.3">
      <c r="A377" s="4">
        <v>52.6</v>
      </c>
      <c r="B377" s="4">
        <v>50.5</v>
      </c>
      <c r="C377" s="4">
        <f t="shared" si="32"/>
        <v>-3.99</v>
      </c>
      <c r="D377" s="4">
        <f t="shared" si="33"/>
        <v>186.89</v>
      </c>
    </row>
    <row r="378" spans="1:4" x14ac:dyDescent="0.3">
      <c r="A378" s="4">
        <v>52.2</v>
      </c>
      <c r="B378" s="4">
        <v>51.7</v>
      </c>
      <c r="C378" s="4">
        <f t="shared" si="32"/>
        <v>-0.96</v>
      </c>
      <c r="D378" s="4">
        <f t="shared" si="33"/>
        <v>185.1</v>
      </c>
    </row>
    <row r="379" spans="1:4" x14ac:dyDescent="0.3">
      <c r="A379" s="4">
        <v>50.6</v>
      </c>
      <c r="B379" s="4">
        <v>49.77</v>
      </c>
      <c r="C379" s="4">
        <f t="shared" si="32"/>
        <v>-1.64</v>
      </c>
      <c r="D379" s="4">
        <f t="shared" si="33"/>
        <v>182.06</v>
      </c>
    </row>
    <row r="380" spans="1:4" x14ac:dyDescent="0.3">
      <c r="A380" s="4">
        <v>50.5</v>
      </c>
      <c r="B380" s="4">
        <v>57.6</v>
      </c>
      <c r="C380" s="4">
        <f t="shared" si="32"/>
        <v>14.06</v>
      </c>
      <c r="D380" s="4">
        <f t="shared" si="33"/>
        <v>207.66</v>
      </c>
    </row>
    <row r="381" spans="1:4" x14ac:dyDescent="0.3">
      <c r="A381" s="4">
        <v>53.18</v>
      </c>
      <c r="B381" s="4">
        <v>52.25</v>
      </c>
      <c r="C381" s="4">
        <f t="shared" si="32"/>
        <v>-1.75</v>
      </c>
      <c r="D381" s="4">
        <f t="shared" si="33"/>
        <v>204.03</v>
      </c>
    </row>
    <row r="382" spans="1:4" x14ac:dyDescent="0.3">
      <c r="A382" s="4">
        <v>48.5</v>
      </c>
      <c r="B382" s="4">
        <v>48.2</v>
      </c>
      <c r="C382" s="4">
        <f t="shared" si="32"/>
        <v>-0.62</v>
      </c>
      <c r="D382" s="4">
        <f t="shared" si="33"/>
        <v>202.77</v>
      </c>
    </row>
    <row r="383" spans="1:4" x14ac:dyDescent="0.3">
      <c r="A383" s="4">
        <v>48.5</v>
      </c>
      <c r="B383" s="4">
        <v>47.3</v>
      </c>
      <c r="C383" s="4">
        <f t="shared" si="32"/>
        <v>-2.4700000000000002</v>
      </c>
      <c r="D383" s="4">
        <f t="shared" si="33"/>
        <v>197.76</v>
      </c>
    </row>
    <row r="384" spans="1:4" x14ac:dyDescent="0.3">
      <c r="A384" s="4">
        <v>47.7</v>
      </c>
    </row>
    <row r="386" spans="1:4" s="6" customFormat="1" x14ac:dyDescent="0.3">
      <c r="A386" s="5" t="s">
        <v>22</v>
      </c>
      <c r="B386" s="5">
        <v>2023</v>
      </c>
      <c r="C386" s="5"/>
      <c r="D386" s="5">
        <v>200</v>
      </c>
    </row>
    <row r="387" spans="1:4" x14ac:dyDescent="0.3">
      <c r="A387" s="4">
        <v>13.7</v>
      </c>
      <c r="B387" s="4">
        <v>13.35</v>
      </c>
      <c r="C387" s="4">
        <f t="shared" ref="C387:C398" si="34">ROUND((B387 - A387) / A387 * 100, 2)</f>
        <v>-2.5499999999999998</v>
      </c>
      <c r="D387" s="4">
        <f t="shared" ref="D387:D415" si="35">ROUND(D386 * (1 + C387 / 100), 2)</f>
        <v>194.9</v>
      </c>
    </row>
    <row r="388" spans="1:4" x14ac:dyDescent="0.3">
      <c r="A388" s="4">
        <v>12.5</v>
      </c>
      <c r="B388" s="4">
        <v>12.3</v>
      </c>
      <c r="C388" s="4">
        <f t="shared" si="34"/>
        <v>-1.6</v>
      </c>
      <c r="D388" s="4">
        <f t="shared" si="35"/>
        <v>191.78</v>
      </c>
    </row>
    <row r="389" spans="1:4" x14ac:dyDescent="0.3">
      <c r="A389" s="4">
        <v>12.45</v>
      </c>
      <c r="B389" s="4">
        <v>13.7</v>
      </c>
      <c r="C389" s="4">
        <f t="shared" si="34"/>
        <v>10.039999999999999</v>
      </c>
      <c r="D389" s="4">
        <f t="shared" si="35"/>
        <v>211.03</v>
      </c>
    </row>
    <row r="390" spans="1:4" x14ac:dyDescent="0.3">
      <c r="A390" s="4">
        <v>13.05</v>
      </c>
      <c r="B390" s="4">
        <v>12.7</v>
      </c>
      <c r="C390" s="4">
        <f t="shared" si="34"/>
        <v>-2.68</v>
      </c>
      <c r="D390" s="4">
        <f t="shared" si="35"/>
        <v>205.37</v>
      </c>
    </row>
    <row r="391" spans="1:4" x14ac:dyDescent="0.3">
      <c r="A391" s="4">
        <v>13.15</v>
      </c>
      <c r="B391" s="4">
        <v>14.15</v>
      </c>
      <c r="C391" s="4">
        <f t="shared" si="34"/>
        <v>7.6</v>
      </c>
      <c r="D391" s="4">
        <f t="shared" si="35"/>
        <v>220.98</v>
      </c>
    </row>
    <row r="392" spans="1:4" x14ac:dyDescent="0.3">
      <c r="A392" s="4">
        <v>14.85</v>
      </c>
      <c r="B392" s="4">
        <v>16.3</v>
      </c>
      <c r="C392" s="4">
        <f t="shared" si="34"/>
        <v>9.76</v>
      </c>
      <c r="D392" s="4">
        <f t="shared" si="35"/>
        <v>242.55</v>
      </c>
    </row>
    <row r="393" spans="1:4" x14ac:dyDescent="0.3">
      <c r="A393" s="4">
        <v>17.399999999999999</v>
      </c>
      <c r="B393" s="4">
        <v>18.55</v>
      </c>
      <c r="C393" s="4">
        <f t="shared" si="34"/>
        <v>6.61</v>
      </c>
      <c r="D393" s="4">
        <f t="shared" si="35"/>
        <v>258.58</v>
      </c>
    </row>
    <row r="394" spans="1:4" x14ac:dyDescent="0.3">
      <c r="A394" s="4">
        <v>19.7</v>
      </c>
      <c r="B394" s="4">
        <v>18.899999999999999</v>
      </c>
      <c r="C394" s="4">
        <f t="shared" si="34"/>
        <v>-4.0599999999999996</v>
      </c>
      <c r="D394" s="4">
        <f t="shared" si="35"/>
        <v>248.08</v>
      </c>
    </row>
    <row r="395" spans="1:4" x14ac:dyDescent="0.3">
      <c r="A395" s="4">
        <v>19.7</v>
      </c>
      <c r="B395" s="4">
        <v>20.55</v>
      </c>
      <c r="C395" s="4">
        <f t="shared" si="34"/>
        <v>4.3099999999999996</v>
      </c>
      <c r="D395" s="4">
        <f t="shared" si="35"/>
        <v>258.77</v>
      </c>
    </row>
    <row r="396" spans="1:4" x14ac:dyDescent="0.3">
      <c r="A396" s="4">
        <v>21.4</v>
      </c>
      <c r="B396" s="4">
        <v>22.6</v>
      </c>
      <c r="C396" s="4">
        <f t="shared" si="34"/>
        <v>5.61</v>
      </c>
      <c r="D396" s="4">
        <f t="shared" si="35"/>
        <v>273.29000000000002</v>
      </c>
    </row>
    <row r="397" spans="1:4" x14ac:dyDescent="0.3">
      <c r="A397" s="4">
        <v>22.6</v>
      </c>
      <c r="B397" s="4">
        <v>23.64</v>
      </c>
      <c r="C397" s="4">
        <f t="shared" si="34"/>
        <v>4.5999999999999996</v>
      </c>
      <c r="D397" s="4">
        <f t="shared" si="35"/>
        <v>285.86</v>
      </c>
    </row>
    <row r="398" spans="1:4" x14ac:dyDescent="0.3">
      <c r="A398" s="4">
        <v>22.7</v>
      </c>
      <c r="B398" s="4">
        <v>23.9</v>
      </c>
      <c r="C398" s="4">
        <f t="shared" si="34"/>
        <v>5.29</v>
      </c>
      <c r="D398" s="4">
        <f t="shared" si="35"/>
        <v>300.98</v>
      </c>
    </row>
    <row r="399" spans="1:4" x14ac:dyDescent="0.3">
      <c r="A399" s="4">
        <v>24</v>
      </c>
      <c r="C399" s="4">
        <v>-5</v>
      </c>
      <c r="D399" s="4">
        <f t="shared" si="35"/>
        <v>285.93</v>
      </c>
    </row>
    <row r="400" spans="1:4" x14ac:dyDescent="0.3">
      <c r="A400" s="4">
        <v>20.95</v>
      </c>
      <c r="C400" s="4">
        <v>-5</v>
      </c>
      <c r="D400" s="4">
        <f t="shared" si="35"/>
        <v>271.63</v>
      </c>
    </row>
    <row r="401" spans="1:4" x14ac:dyDescent="0.3">
      <c r="A401" s="4">
        <v>20.3</v>
      </c>
      <c r="B401" s="4">
        <v>21.85</v>
      </c>
      <c r="C401" s="4">
        <f t="shared" ref="C401:C415" si="36">ROUND((B401 - A401) / A401 * 100, 2)</f>
        <v>7.64</v>
      </c>
      <c r="D401" s="4">
        <f t="shared" si="35"/>
        <v>292.38</v>
      </c>
    </row>
    <row r="402" spans="1:4" x14ac:dyDescent="0.3">
      <c r="A402" s="4">
        <v>23.15</v>
      </c>
      <c r="B402" s="4">
        <v>21.8</v>
      </c>
      <c r="C402" s="4">
        <v>-5</v>
      </c>
      <c r="D402" s="4">
        <f t="shared" si="35"/>
        <v>277.76</v>
      </c>
    </row>
    <row r="403" spans="1:4" x14ac:dyDescent="0.3">
      <c r="A403" s="4">
        <v>21.9</v>
      </c>
      <c r="B403" s="4">
        <v>21.35</v>
      </c>
      <c r="C403" s="4">
        <f t="shared" si="36"/>
        <v>-2.5099999999999998</v>
      </c>
      <c r="D403" s="4">
        <f t="shared" si="35"/>
        <v>270.79000000000002</v>
      </c>
    </row>
    <row r="404" spans="1:4" x14ac:dyDescent="0.3">
      <c r="A404" s="4">
        <v>21.78</v>
      </c>
      <c r="B404" s="4">
        <v>21.75</v>
      </c>
      <c r="C404" s="4">
        <f t="shared" si="36"/>
        <v>-0.14000000000000001</v>
      </c>
      <c r="D404" s="4">
        <f t="shared" si="35"/>
        <v>270.41000000000003</v>
      </c>
    </row>
    <row r="405" spans="1:4" x14ac:dyDescent="0.3">
      <c r="A405" s="4">
        <v>22</v>
      </c>
      <c r="B405" s="4">
        <v>23.5</v>
      </c>
      <c r="C405" s="4">
        <f t="shared" si="36"/>
        <v>6.82</v>
      </c>
      <c r="D405" s="4">
        <f t="shared" si="35"/>
        <v>288.85000000000002</v>
      </c>
    </row>
    <row r="406" spans="1:4" x14ac:dyDescent="0.3">
      <c r="A406" s="4">
        <v>22.6</v>
      </c>
      <c r="B406" s="4">
        <v>23.4</v>
      </c>
      <c r="C406" s="4">
        <f t="shared" si="36"/>
        <v>3.54</v>
      </c>
      <c r="D406" s="4">
        <f t="shared" si="35"/>
        <v>299.08</v>
      </c>
    </row>
    <row r="407" spans="1:4" x14ac:dyDescent="0.3">
      <c r="A407" s="4">
        <v>24.3</v>
      </c>
      <c r="B407" s="4">
        <v>25.8</v>
      </c>
      <c r="C407" s="4">
        <f t="shared" si="36"/>
        <v>6.17</v>
      </c>
      <c r="D407" s="4">
        <f t="shared" si="35"/>
        <v>317.52999999999997</v>
      </c>
    </row>
    <row r="408" spans="1:4" x14ac:dyDescent="0.3">
      <c r="A408" s="4">
        <v>24</v>
      </c>
      <c r="B408" s="4">
        <v>23.45</v>
      </c>
      <c r="C408" s="4">
        <f t="shared" si="36"/>
        <v>-2.29</v>
      </c>
      <c r="D408" s="4">
        <f t="shared" si="35"/>
        <v>310.26</v>
      </c>
    </row>
    <row r="409" spans="1:4" x14ac:dyDescent="0.3">
      <c r="A409" s="4">
        <v>21.65</v>
      </c>
      <c r="B409" s="4">
        <v>24.3</v>
      </c>
      <c r="C409" s="4">
        <f t="shared" si="36"/>
        <v>12.24</v>
      </c>
      <c r="D409" s="4">
        <f t="shared" si="35"/>
        <v>348.24</v>
      </c>
    </row>
    <row r="410" spans="1:4" x14ac:dyDescent="0.3">
      <c r="A410" s="4">
        <v>23.55</v>
      </c>
      <c r="B410" s="4">
        <v>24.3</v>
      </c>
      <c r="C410" s="4">
        <f t="shared" si="36"/>
        <v>3.18</v>
      </c>
      <c r="D410" s="4">
        <f t="shared" si="35"/>
        <v>359.31</v>
      </c>
    </row>
    <row r="411" spans="1:4" x14ac:dyDescent="0.3">
      <c r="A411" s="4">
        <v>23.2</v>
      </c>
      <c r="B411" s="4">
        <v>24</v>
      </c>
      <c r="C411" s="4">
        <f t="shared" si="36"/>
        <v>3.45</v>
      </c>
      <c r="D411" s="4">
        <f t="shared" si="35"/>
        <v>371.71</v>
      </c>
    </row>
    <row r="412" spans="1:4" x14ac:dyDescent="0.3">
      <c r="A412" s="4">
        <v>22.9</v>
      </c>
      <c r="C412" s="4">
        <v>-5</v>
      </c>
      <c r="D412" s="4">
        <f t="shared" si="35"/>
        <v>353.12</v>
      </c>
    </row>
    <row r="413" spans="1:4" x14ac:dyDescent="0.3">
      <c r="A413" s="4">
        <v>21.85</v>
      </c>
      <c r="B413" s="4">
        <v>21.15</v>
      </c>
      <c r="C413" s="4">
        <f t="shared" si="36"/>
        <v>-3.2</v>
      </c>
      <c r="D413" s="4">
        <f t="shared" si="35"/>
        <v>341.82</v>
      </c>
    </row>
    <row r="414" spans="1:4" x14ac:dyDescent="0.3">
      <c r="A414" s="4">
        <v>19.05</v>
      </c>
      <c r="B414" s="4">
        <v>19</v>
      </c>
      <c r="C414" s="4">
        <f t="shared" si="36"/>
        <v>-0.26</v>
      </c>
      <c r="D414" s="4">
        <f t="shared" si="35"/>
        <v>340.93</v>
      </c>
    </row>
    <row r="415" spans="1:4" x14ac:dyDescent="0.3">
      <c r="A415" s="4">
        <v>19.100000000000001</v>
      </c>
      <c r="B415" s="4">
        <v>23.8</v>
      </c>
      <c r="C415" s="4">
        <f t="shared" si="36"/>
        <v>24.61</v>
      </c>
      <c r="D415" s="4">
        <f t="shared" si="35"/>
        <v>424.83</v>
      </c>
    </row>
    <row r="417" spans="1:4" s="6" customFormat="1" x14ac:dyDescent="0.3">
      <c r="A417" s="5" t="s">
        <v>27</v>
      </c>
      <c r="B417" s="5">
        <v>2023</v>
      </c>
      <c r="C417" s="5"/>
      <c r="D417" s="5">
        <v>200</v>
      </c>
    </row>
    <row r="418" spans="1:4" x14ac:dyDescent="0.3">
      <c r="A418" s="4">
        <v>12</v>
      </c>
      <c r="B418" s="4">
        <v>14.3</v>
      </c>
      <c r="C418" s="4">
        <f t="shared" ref="C418:C434" si="37">ROUND((B418 - A418) / A418 * 100, 2)</f>
        <v>19.170000000000002</v>
      </c>
      <c r="D418" s="4">
        <f t="shared" ref="D418:D434" si="38">ROUND(D417 * (1 + C418 / 100), 2)</f>
        <v>238.34</v>
      </c>
    </row>
    <row r="419" spans="1:4" x14ac:dyDescent="0.3">
      <c r="A419" s="4">
        <v>14.67</v>
      </c>
      <c r="B419" s="4">
        <v>14.2</v>
      </c>
      <c r="C419" s="4">
        <f t="shared" si="37"/>
        <v>-3.2</v>
      </c>
      <c r="D419" s="4">
        <f t="shared" si="38"/>
        <v>230.71</v>
      </c>
    </row>
    <row r="420" spans="1:4" x14ac:dyDescent="0.3">
      <c r="A420" s="4">
        <v>16.7</v>
      </c>
      <c r="B420" s="4">
        <v>17.98</v>
      </c>
      <c r="C420" s="4">
        <f t="shared" si="37"/>
        <v>7.66</v>
      </c>
      <c r="D420" s="4">
        <f t="shared" si="38"/>
        <v>248.38</v>
      </c>
    </row>
    <row r="421" spans="1:4" x14ac:dyDescent="0.3">
      <c r="A421" s="4">
        <v>19</v>
      </c>
      <c r="B421" s="4">
        <v>19.899999999999999</v>
      </c>
      <c r="C421" s="4">
        <f t="shared" si="37"/>
        <v>4.74</v>
      </c>
      <c r="D421" s="4">
        <f t="shared" si="38"/>
        <v>260.14999999999998</v>
      </c>
    </row>
    <row r="422" spans="1:4" x14ac:dyDescent="0.3">
      <c r="A422" s="4">
        <v>20.45</v>
      </c>
      <c r="B422" s="4">
        <v>20.2</v>
      </c>
      <c r="C422" s="4">
        <f t="shared" si="37"/>
        <v>-1.22</v>
      </c>
      <c r="D422" s="4">
        <f t="shared" si="38"/>
        <v>256.98</v>
      </c>
    </row>
    <row r="423" spans="1:4" x14ac:dyDescent="0.3">
      <c r="A423" s="4">
        <v>18</v>
      </c>
      <c r="B423" s="4">
        <v>19.2</v>
      </c>
      <c r="C423" s="4">
        <f t="shared" si="37"/>
        <v>6.67</v>
      </c>
      <c r="D423" s="4">
        <f t="shared" si="38"/>
        <v>274.12</v>
      </c>
    </row>
    <row r="424" spans="1:4" x14ac:dyDescent="0.3">
      <c r="A424" s="4">
        <v>20</v>
      </c>
      <c r="B424" s="4">
        <v>21.6</v>
      </c>
      <c r="C424" s="4">
        <f t="shared" si="37"/>
        <v>8</v>
      </c>
      <c r="D424" s="4">
        <f t="shared" si="38"/>
        <v>296.05</v>
      </c>
    </row>
    <row r="425" spans="1:4" x14ac:dyDescent="0.3">
      <c r="A425" s="4">
        <v>20</v>
      </c>
      <c r="B425" s="4">
        <v>20.100000000000001</v>
      </c>
      <c r="C425" s="4">
        <f t="shared" si="37"/>
        <v>0.5</v>
      </c>
      <c r="D425" s="4">
        <f t="shared" si="38"/>
        <v>297.52999999999997</v>
      </c>
    </row>
    <row r="426" spans="1:4" x14ac:dyDescent="0.3">
      <c r="A426" s="4">
        <v>23.45</v>
      </c>
      <c r="B426" s="4">
        <v>22.02</v>
      </c>
      <c r="C426" s="4">
        <f t="shared" si="37"/>
        <v>-6.1</v>
      </c>
      <c r="D426" s="4">
        <f t="shared" si="38"/>
        <v>279.38</v>
      </c>
    </row>
    <row r="427" spans="1:4" x14ac:dyDescent="0.3">
      <c r="A427" s="4">
        <v>20.65</v>
      </c>
      <c r="B427" s="4">
        <v>22</v>
      </c>
      <c r="C427" s="4">
        <f t="shared" si="37"/>
        <v>6.54</v>
      </c>
      <c r="D427" s="4">
        <f t="shared" si="38"/>
        <v>297.64999999999998</v>
      </c>
    </row>
    <row r="428" spans="1:4" x14ac:dyDescent="0.3">
      <c r="A428" s="4">
        <v>21.55</v>
      </c>
      <c r="B428" s="4">
        <v>22.3</v>
      </c>
      <c r="C428" s="4">
        <f t="shared" si="37"/>
        <v>3.48</v>
      </c>
      <c r="D428" s="4">
        <f t="shared" si="38"/>
        <v>308.01</v>
      </c>
    </row>
    <row r="429" spans="1:4" x14ac:dyDescent="0.3">
      <c r="A429" s="4">
        <v>22.6</v>
      </c>
      <c r="B429" s="4">
        <v>25.1</v>
      </c>
      <c r="C429" s="4">
        <f t="shared" si="37"/>
        <v>11.06</v>
      </c>
      <c r="D429" s="4">
        <f t="shared" si="38"/>
        <v>342.08</v>
      </c>
    </row>
    <row r="430" spans="1:4" x14ac:dyDescent="0.3">
      <c r="A430" s="4">
        <v>21.2</v>
      </c>
      <c r="B430" s="4">
        <v>19.899999999999999</v>
      </c>
      <c r="C430" s="4">
        <f t="shared" si="37"/>
        <v>-6.13</v>
      </c>
      <c r="D430" s="4">
        <f t="shared" si="38"/>
        <v>321.11</v>
      </c>
    </row>
    <row r="431" spans="1:4" x14ac:dyDescent="0.3">
      <c r="A431" s="4">
        <v>19</v>
      </c>
      <c r="B431" s="4">
        <v>18.5</v>
      </c>
      <c r="C431" s="4">
        <f t="shared" si="37"/>
        <v>-2.63</v>
      </c>
      <c r="D431" s="4">
        <f t="shared" si="38"/>
        <v>312.66000000000003</v>
      </c>
    </row>
    <row r="432" spans="1:4" x14ac:dyDescent="0.3">
      <c r="A432" s="4">
        <v>18.95</v>
      </c>
      <c r="B432" s="4">
        <v>18.399999999999999</v>
      </c>
      <c r="C432" s="4">
        <f t="shared" si="37"/>
        <v>-2.9</v>
      </c>
      <c r="D432" s="4">
        <f t="shared" si="38"/>
        <v>303.58999999999997</v>
      </c>
    </row>
    <row r="433" spans="1:4" x14ac:dyDescent="0.3">
      <c r="A433" s="4">
        <v>17.899999999999999</v>
      </c>
      <c r="C433" s="4">
        <v>-5</v>
      </c>
      <c r="D433" s="4">
        <f t="shared" si="38"/>
        <v>288.41000000000003</v>
      </c>
    </row>
    <row r="434" spans="1:4" x14ac:dyDescent="0.3">
      <c r="A434" s="4">
        <v>17.55</v>
      </c>
      <c r="B434" s="4">
        <v>19</v>
      </c>
      <c r="C434" s="4">
        <f t="shared" si="37"/>
        <v>8.26</v>
      </c>
      <c r="D434" s="4">
        <f t="shared" si="38"/>
        <v>312.23</v>
      </c>
    </row>
    <row r="435" spans="1:4" x14ac:dyDescent="0.3">
      <c r="A435" s="4">
        <v>18.7</v>
      </c>
    </row>
    <row r="437" spans="1:4" s="6" customFormat="1" x14ac:dyDescent="0.3">
      <c r="A437" s="5" t="s">
        <v>22</v>
      </c>
      <c r="B437" s="5">
        <v>2017</v>
      </c>
      <c r="C437" s="5"/>
      <c r="D437" s="5">
        <v>200</v>
      </c>
    </row>
    <row r="438" spans="1:4" x14ac:dyDescent="0.3">
      <c r="A438" s="4">
        <v>8.5500000000000007</v>
      </c>
      <c r="B438" s="4">
        <v>8.39</v>
      </c>
      <c r="C438" s="4">
        <f t="shared" ref="C438:C441" si="39">ROUND((B438 - A438) / A438 * 100, 2)</f>
        <v>-1.87</v>
      </c>
      <c r="D438" s="4">
        <f t="shared" ref="D438:D441" si="40">ROUND(D437 * (1 + C438 / 100), 2)</f>
        <v>196.26</v>
      </c>
    </row>
    <row r="439" spans="1:4" x14ac:dyDescent="0.3">
      <c r="A439" s="4">
        <v>8.4</v>
      </c>
      <c r="B439" s="4">
        <v>9.6</v>
      </c>
      <c r="C439" s="4">
        <f t="shared" si="39"/>
        <v>14.29</v>
      </c>
      <c r="D439" s="4">
        <f t="shared" si="40"/>
        <v>224.31</v>
      </c>
    </row>
    <row r="440" spans="1:4" x14ac:dyDescent="0.3">
      <c r="A440" s="4">
        <v>9.58</v>
      </c>
      <c r="B440" s="4">
        <v>9.73</v>
      </c>
      <c r="C440" s="4">
        <f t="shared" si="39"/>
        <v>1.57</v>
      </c>
      <c r="D440" s="4">
        <f t="shared" si="40"/>
        <v>227.83</v>
      </c>
    </row>
    <row r="441" spans="1:4" x14ac:dyDescent="0.3">
      <c r="A441" s="4">
        <v>9.85</v>
      </c>
      <c r="B441" s="4">
        <v>10.3</v>
      </c>
      <c r="C441" s="4">
        <f t="shared" si="39"/>
        <v>4.57</v>
      </c>
      <c r="D441" s="4">
        <f t="shared" si="40"/>
        <v>238.24</v>
      </c>
    </row>
    <row r="442" spans="1:4" x14ac:dyDescent="0.3">
      <c r="A442" s="4">
        <v>9.65</v>
      </c>
    </row>
    <row r="444" spans="1:4" s="6" customFormat="1" x14ac:dyDescent="0.3">
      <c r="A444" s="5" t="s">
        <v>1</v>
      </c>
      <c r="B444" s="5">
        <v>2020</v>
      </c>
      <c r="C444" s="5"/>
      <c r="D444" s="5">
        <v>200</v>
      </c>
    </row>
    <row r="445" spans="1:4" x14ac:dyDescent="0.3">
      <c r="A445" s="4">
        <v>31.3</v>
      </c>
      <c r="B445" s="4">
        <v>30.07</v>
      </c>
      <c r="C445" s="4">
        <f t="shared" ref="C445:C484" si="41">ROUND((B445 - A445) / A445 * 100, 2)</f>
        <v>-3.93</v>
      </c>
      <c r="D445" s="4">
        <f t="shared" ref="D445:D484" si="42">ROUND(D444 * (1 + C445 / 100), 2)</f>
        <v>192.14</v>
      </c>
    </row>
    <row r="446" spans="1:4" x14ac:dyDescent="0.3">
      <c r="A446" s="4">
        <v>30.6</v>
      </c>
      <c r="B446" s="4">
        <v>29.85</v>
      </c>
      <c r="C446" s="4">
        <f t="shared" si="41"/>
        <v>-2.4500000000000002</v>
      </c>
      <c r="D446" s="4">
        <f t="shared" si="42"/>
        <v>187.43</v>
      </c>
    </row>
    <row r="447" spans="1:4" x14ac:dyDescent="0.3">
      <c r="A447" s="4">
        <v>30.1</v>
      </c>
      <c r="B447" s="4">
        <v>29.52</v>
      </c>
      <c r="C447" s="4">
        <f t="shared" si="41"/>
        <v>-1.93</v>
      </c>
      <c r="D447" s="4">
        <f t="shared" si="42"/>
        <v>183.81</v>
      </c>
    </row>
    <row r="448" spans="1:4" x14ac:dyDescent="0.3">
      <c r="A448" s="4">
        <v>28.96</v>
      </c>
      <c r="B448" s="4">
        <v>29.24</v>
      </c>
      <c r="C448" s="4">
        <f t="shared" si="41"/>
        <v>0.97</v>
      </c>
      <c r="D448" s="4">
        <f t="shared" si="42"/>
        <v>185.59</v>
      </c>
    </row>
    <row r="449" spans="1:4" x14ac:dyDescent="0.3">
      <c r="A449" s="4">
        <v>29.5</v>
      </c>
      <c r="B449" s="4">
        <v>32.5</v>
      </c>
      <c r="C449" s="4">
        <f t="shared" si="41"/>
        <v>10.17</v>
      </c>
      <c r="D449" s="4">
        <f t="shared" si="42"/>
        <v>204.46</v>
      </c>
    </row>
    <row r="450" spans="1:4" x14ac:dyDescent="0.3">
      <c r="A450" s="4">
        <v>32</v>
      </c>
      <c r="B450" s="4">
        <v>34.6</v>
      </c>
      <c r="C450" s="4">
        <f t="shared" si="41"/>
        <v>8.1300000000000008</v>
      </c>
      <c r="D450" s="4">
        <f t="shared" si="42"/>
        <v>221.08</v>
      </c>
    </row>
    <row r="451" spans="1:4" x14ac:dyDescent="0.3">
      <c r="A451" s="4">
        <v>33.799999999999997</v>
      </c>
      <c r="B451" s="4">
        <v>35.92</v>
      </c>
      <c r="C451" s="4">
        <f t="shared" si="41"/>
        <v>6.27</v>
      </c>
      <c r="D451" s="4">
        <f t="shared" si="42"/>
        <v>234.94</v>
      </c>
    </row>
    <row r="452" spans="1:4" x14ac:dyDescent="0.3">
      <c r="A452" s="4">
        <v>35.25</v>
      </c>
      <c r="B452" s="4">
        <v>34.4</v>
      </c>
      <c r="C452" s="4">
        <f t="shared" si="41"/>
        <v>-2.41</v>
      </c>
      <c r="D452" s="4">
        <f t="shared" si="42"/>
        <v>229.28</v>
      </c>
    </row>
    <row r="453" spans="1:4" x14ac:dyDescent="0.3">
      <c r="A453" s="4">
        <v>34.700000000000003</v>
      </c>
      <c r="B453" s="4">
        <v>36</v>
      </c>
      <c r="C453" s="4">
        <f t="shared" si="41"/>
        <v>3.75</v>
      </c>
      <c r="D453" s="4">
        <f t="shared" si="42"/>
        <v>237.88</v>
      </c>
    </row>
    <row r="454" spans="1:4" x14ac:dyDescent="0.3">
      <c r="A454" s="4">
        <v>35.299999999999997</v>
      </c>
      <c r="B454" s="4">
        <v>35.14</v>
      </c>
      <c r="C454" s="4">
        <f t="shared" si="41"/>
        <v>-0.45</v>
      </c>
      <c r="D454" s="4">
        <f t="shared" si="42"/>
        <v>236.81</v>
      </c>
    </row>
    <row r="455" spans="1:4" x14ac:dyDescent="0.3">
      <c r="A455" s="4">
        <v>34.299999999999997</v>
      </c>
      <c r="B455" s="4">
        <v>36.200000000000003</v>
      </c>
      <c r="C455" s="4">
        <f t="shared" si="41"/>
        <v>5.54</v>
      </c>
      <c r="D455" s="4">
        <f t="shared" si="42"/>
        <v>249.93</v>
      </c>
    </row>
    <row r="456" spans="1:4" x14ac:dyDescent="0.3">
      <c r="A456" s="4">
        <v>36.700000000000003</v>
      </c>
      <c r="B456" s="4">
        <v>36.200000000000003</v>
      </c>
      <c r="C456" s="4">
        <f t="shared" si="41"/>
        <v>-1.36</v>
      </c>
      <c r="D456" s="4">
        <f t="shared" si="42"/>
        <v>246.53</v>
      </c>
    </row>
    <row r="457" spans="1:4" x14ac:dyDescent="0.3">
      <c r="A457" s="4">
        <v>36.799999999999997</v>
      </c>
      <c r="B457" s="4">
        <v>41.9</v>
      </c>
      <c r="C457" s="4">
        <f t="shared" si="41"/>
        <v>13.86</v>
      </c>
      <c r="D457" s="4">
        <f t="shared" si="42"/>
        <v>280.7</v>
      </c>
    </row>
    <row r="458" spans="1:4" x14ac:dyDescent="0.3">
      <c r="A458" s="4">
        <v>39</v>
      </c>
      <c r="B458" s="4">
        <v>42.7</v>
      </c>
      <c r="C458" s="4">
        <f t="shared" si="41"/>
        <v>9.49</v>
      </c>
      <c r="D458" s="4">
        <f t="shared" si="42"/>
        <v>307.33999999999997</v>
      </c>
    </row>
    <row r="459" spans="1:4" x14ac:dyDescent="0.3">
      <c r="A459" s="4">
        <v>43.6</v>
      </c>
      <c r="B459" s="4">
        <v>45.1</v>
      </c>
      <c r="C459" s="4">
        <f t="shared" si="41"/>
        <v>3.44</v>
      </c>
      <c r="D459" s="4">
        <f t="shared" si="42"/>
        <v>317.91000000000003</v>
      </c>
    </row>
    <row r="460" spans="1:4" x14ac:dyDescent="0.3">
      <c r="A460" s="4">
        <v>47.4</v>
      </c>
      <c r="B460" s="4">
        <v>60.4</v>
      </c>
      <c r="C460" s="4">
        <f t="shared" si="41"/>
        <v>27.43</v>
      </c>
      <c r="D460" s="4">
        <f t="shared" si="42"/>
        <v>405.11</v>
      </c>
    </row>
    <row r="461" spans="1:4" x14ac:dyDescent="0.3">
      <c r="A461" s="4">
        <v>62.5</v>
      </c>
      <c r="B461" s="4">
        <v>76.5</v>
      </c>
      <c r="C461" s="4">
        <f t="shared" si="41"/>
        <v>22.4</v>
      </c>
      <c r="D461" s="4">
        <f t="shared" si="42"/>
        <v>495.85</v>
      </c>
    </row>
    <row r="462" spans="1:4" x14ac:dyDescent="0.3">
      <c r="A462" s="4">
        <v>72.38</v>
      </c>
      <c r="B462" s="4">
        <v>76.8</v>
      </c>
      <c r="C462" s="4">
        <f t="shared" si="41"/>
        <v>6.11</v>
      </c>
      <c r="D462" s="4">
        <f t="shared" si="42"/>
        <v>526.15</v>
      </c>
    </row>
    <row r="463" spans="1:4" x14ac:dyDescent="0.3">
      <c r="A463" s="4">
        <v>82.5</v>
      </c>
      <c r="B463" s="4">
        <v>90.7</v>
      </c>
      <c r="C463" s="4">
        <f t="shared" si="41"/>
        <v>9.94</v>
      </c>
      <c r="D463" s="4">
        <f t="shared" si="42"/>
        <v>578.45000000000005</v>
      </c>
    </row>
    <row r="464" spans="1:4" x14ac:dyDescent="0.3">
      <c r="A464" s="4">
        <v>82.1</v>
      </c>
      <c r="B464" s="4">
        <v>79.349999999999994</v>
      </c>
      <c r="C464" s="4">
        <f t="shared" si="41"/>
        <v>-3.35</v>
      </c>
      <c r="D464" s="4">
        <f t="shared" si="42"/>
        <v>559.07000000000005</v>
      </c>
    </row>
    <row r="465" spans="1:4" x14ac:dyDescent="0.3">
      <c r="A465" s="4">
        <v>81.400000000000006</v>
      </c>
      <c r="B465" s="4">
        <v>78.7</v>
      </c>
      <c r="C465" s="4">
        <f t="shared" si="41"/>
        <v>-3.32</v>
      </c>
      <c r="D465" s="4">
        <f t="shared" si="42"/>
        <v>540.51</v>
      </c>
    </row>
    <row r="466" spans="1:4" x14ac:dyDescent="0.3">
      <c r="A466" s="4">
        <v>81.099999999999994</v>
      </c>
      <c r="B466" s="4">
        <v>88.1</v>
      </c>
      <c r="C466" s="4">
        <f t="shared" si="41"/>
        <v>8.6300000000000008</v>
      </c>
      <c r="D466" s="4">
        <f t="shared" si="42"/>
        <v>587.16</v>
      </c>
    </row>
    <row r="467" spans="1:4" x14ac:dyDescent="0.3">
      <c r="A467" s="4">
        <v>79.5</v>
      </c>
      <c r="B467" s="4">
        <v>82.5</v>
      </c>
      <c r="C467" s="4">
        <f t="shared" si="41"/>
        <v>3.77</v>
      </c>
      <c r="D467" s="4">
        <f t="shared" si="42"/>
        <v>609.29999999999995</v>
      </c>
    </row>
    <row r="468" spans="1:4" x14ac:dyDescent="0.3">
      <c r="A468" s="4">
        <v>77</v>
      </c>
      <c r="B468" s="4">
        <v>75</v>
      </c>
      <c r="C468" s="4">
        <f t="shared" si="41"/>
        <v>-2.6</v>
      </c>
      <c r="D468" s="4">
        <f t="shared" si="42"/>
        <v>593.46</v>
      </c>
    </row>
    <row r="469" spans="1:4" x14ac:dyDescent="0.3">
      <c r="A469" s="4">
        <v>74.7</v>
      </c>
      <c r="B469" s="4">
        <v>82</v>
      </c>
      <c r="C469" s="4">
        <f t="shared" si="41"/>
        <v>9.77</v>
      </c>
      <c r="D469" s="4">
        <f t="shared" si="42"/>
        <v>651.44000000000005</v>
      </c>
    </row>
    <row r="470" spans="1:4" x14ac:dyDescent="0.3">
      <c r="A470" s="4">
        <v>83</v>
      </c>
      <c r="B470" s="4">
        <v>84.5</v>
      </c>
      <c r="C470" s="4">
        <f t="shared" si="41"/>
        <v>1.81</v>
      </c>
      <c r="D470" s="4">
        <f t="shared" si="42"/>
        <v>663.23</v>
      </c>
    </row>
    <row r="471" spans="1:4" x14ac:dyDescent="0.3">
      <c r="A471" s="4">
        <v>16</v>
      </c>
      <c r="B471" s="4">
        <v>19.8</v>
      </c>
      <c r="C471" s="4">
        <f t="shared" si="41"/>
        <v>23.75</v>
      </c>
      <c r="D471" s="4">
        <f t="shared" si="42"/>
        <v>820.75</v>
      </c>
    </row>
    <row r="472" spans="1:4" x14ac:dyDescent="0.3">
      <c r="A472" s="4">
        <v>14</v>
      </c>
      <c r="B472" s="4">
        <v>15</v>
      </c>
      <c r="C472" s="4">
        <f t="shared" si="41"/>
        <v>7.14</v>
      </c>
      <c r="D472" s="4">
        <f t="shared" si="42"/>
        <v>879.35</v>
      </c>
    </row>
    <row r="473" spans="1:4" x14ac:dyDescent="0.3">
      <c r="A473" s="4">
        <v>15.2</v>
      </c>
      <c r="B473" s="4">
        <v>15.99</v>
      </c>
      <c r="C473" s="4">
        <f t="shared" si="41"/>
        <v>5.2</v>
      </c>
      <c r="D473" s="4">
        <f t="shared" si="42"/>
        <v>925.08</v>
      </c>
    </row>
    <row r="474" spans="1:4" x14ac:dyDescent="0.3">
      <c r="A474" s="4">
        <v>16.899999999999999</v>
      </c>
      <c r="B474" s="4">
        <v>16.7</v>
      </c>
      <c r="C474" s="4">
        <f t="shared" si="41"/>
        <v>-1.18</v>
      </c>
      <c r="D474" s="4">
        <f t="shared" si="42"/>
        <v>914.16</v>
      </c>
    </row>
    <row r="475" spans="1:4" x14ac:dyDescent="0.3">
      <c r="A475" s="4">
        <v>17.2</v>
      </c>
      <c r="B475" s="4">
        <v>16.8</v>
      </c>
      <c r="C475" s="4">
        <f t="shared" si="41"/>
        <v>-2.33</v>
      </c>
      <c r="D475" s="4">
        <f t="shared" si="42"/>
        <v>892.86</v>
      </c>
    </row>
    <row r="476" spans="1:4" x14ac:dyDescent="0.3">
      <c r="A476" s="4">
        <v>16.899999999999999</v>
      </c>
      <c r="B476" s="4">
        <v>17.7</v>
      </c>
      <c r="C476" s="4">
        <f t="shared" si="41"/>
        <v>4.7300000000000004</v>
      </c>
      <c r="D476" s="4">
        <f t="shared" si="42"/>
        <v>935.09</v>
      </c>
    </row>
    <row r="477" spans="1:4" x14ac:dyDescent="0.3">
      <c r="A477" s="4">
        <v>14.75</v>
      </c>
      <c r="B477" s="4">
        <v>14.35</v>
      </c>
      <c r="C477" s="4">
        <f t="shared" si="41"/>
        <v>-2.71</v>
      </c>
      <c r="D477" s="4">
        <f t="shared" si="42"/>
        <v>909.75</v>
      </c>
    </row>
    <row r="478" spans="1:4" x14ac:dyDescent="0.3">
      <c r="A478" s="4">
        <v>11.5</v>
      </c>
      <c r="B478" s="4">
        <v>13</v>
      </c>
      <c r="C478" s="4">
        <f t="shared" si="41"/>
        <v>13.04</v>
      </c>
      <c r="D478" s="4">
        <f t="shared" si="42"/>
        <v>1028.3800000000001</v>
      </c>
    </row>
    <row r="479" spans="1:4" x14ac:dyDescent="0.3">
      <c r="A479" s="4">
        <v>10.7</v>
      </c>
      <c r="B479" s="4">
        <v>10.35</v>
      </c>
      <c r="C479" s="4">
        <f t="shared" si="41"/>
        <v>-3.27</v>
      </c>
      <c r="D479" s="4">
        <f t="shared" si="42"/>
        <v>994.75</v>
      </c>
    </row>
    <row r="480" spans="1:4" x14ac:dyDescent="0.3">
      <c r="A480" s="4">
        <v>10.6</v>
      </c>
      <c r="B480" s="4">
        <v>10.8</v>
      </c>
      <c r="C480" s="4">
        <f t="shared" si="41"/>
        <v>1.89</v>
      </c>
      <c r="D480" s="4">
        <f t="shared" si="42"/>
        <v>1013.55</v>
      </c>
    </row>
    <row r="481" spans="1:4" x14ac:dyDescent="0.3">
      <c r="A481" s="4">
        <v>10.5</v>
      </c>
      <c r="B481" s="4">
        <v>10.25</v>
      </c>
      <c r="C481" s="4">
        <f t="shared" si="41"/>
        <v>-2.38</v>
      </c>
      <c r="D481" s="4">
        <f t="shared" si="42"/>
        <v>989.43</v>
      </c>
    </row>
    <row r="482" spans="1:4" x14ac:dyDescent="0.3">
      <c r="A482" s="4">
        <v>9.35</v>
      </c>
      <c r="B482" s="4">
        <v>10.25</v>
      </c>
      <c r="C482" s="4">
        <f t="shared" si="41"/>
        <v>9.6300000000000008</v>
      </c>
      <c r="D482" s="4">
        <f t="shared" si="42"/>
        <v>1084.71</v>
      </c>
    </row>
    <row r="483" spans="1:4" x14ac:dyDescent="0.3">
      <c r="A483" s="4">
        <v>9.92</v>
      </c>
      <c r="B483" s="4">
        <v>10.55</v>
      </c>
      <c r="C483" s="4">
        <f t="shared" si="41"/>
        <v>6.35</v>
      </c>
      <c r="D483" s="4">
        <f t="shared" si="42"/>
        <v>1153.5899999999999</v>
      </c>
    </row>
    <row r="484" spans="1:4" x14ac:dyDescent="0.3">
      <c r="A484" s="4">
        <v>9.8000000000000007</v>
      </c>
      <c r="B484" s="4">
        <v>10.8</v>
      </c>
      <c r="C484" s="4">
        <f t="shared" si="41"/>
        <v>10.199999999999999</v>
      </c>
      <c r="D484" s="4">
        <f t="shared" si="42"/>
        <v>1271.26</v>
      </c>
    </row>
    <row r="486" spans="1:4" s="6" customFormat="1" x14ac:dyDescent="0.3">
      <c r="A486" s="5" t="s">
        <v>102</v>
      </c>
      <c r="B486" s="5">
        <v>2020</v>
      </c>
      <c r="C486" s="5"/>
      <c r="D486" s="5">
        <v>200</v>
      </c>
    </row>
    <row r="487" spans="1:4" x14ac:dyDescent="0.3">
      <c r="A487" s="4">
        <v>7</v>
      </c>
      <c r="B487" s="4">
        <v>7.25</v>
      </c>
      <c r="C487" s="4">
        <f t="shared" ref="C487:C515" si="43">ROUND((B487 - A487) / A487 * 100, 2)</f>
        <v>3.57</v>
      </c>
      <c r="D487" s="4">
        <f t="shared" ref="D487:D515" si="44">ROUND(D486 * (1 + C487 / 100), 2)</f>
        <v>207.14</v>
      </c>
    </row>
    <row r="488" spans="1:4" x14ac:dyDescent="0.3">
      <c r="A488" s="4">
        <v>7.2</v>
      </c>
      <c r="B488" s="4">
        <v>6.93</v>
      </c>
      <c r="C488" s="4">
        <f t="shared" si="43"/>
        <v>-3.75</v>
      </c>
      <c r="D488" s="4">
        <f t="shared" si="44"/>
        <v>199.37</v>
      </c>
    </row>
    <row r="489" spans="1:4" x14ac:dyDescent="0.3">
      <c r="A489" s="4">
        <v>7.18</v>
      </c>
      <c r="B489" s="4">
        <v>7.28</v>
      </c>
      <c r="C489" s="4">
        <f t="shared" si="43"/>
        <v>1.39</v>
      </c>
      <c r="D489" s="4">
        <f t="shared" si="44"/>
        <v>202.14</v>
      </c>
    </row>
    <row r="490" spans="1:4" x14ac:dyDescent="0.3">
      <c r="A490" s="4">
        <v>5.27</v>
      </c>
      <c r="B490" s="4">
        <v>5.55</v>
      </c>
      <c r="C490" s="4">
        <f t="shared" si="43"/>
        <v>5.31</v>
      </c>
      <c r="D490" s="4">
        <f t="shared" si="44"/>
        <v>212.87</v>
      </c>
    </row>
    <row r="491" spans="1:4" x14ac:dyDescent="0.3">
      <c r="A491" s="4">
        <v>6.18</v>
      </c>
      <c r="B491" s="4">
        <v>7.18</v>
      </c>
      <c r="C491" s="4">
        <f t="shared" si="43"/>
        <v>16.18</v>
      </c>
      <c r="D491" s="4">
        <f t="shared" si="44"/>
        <v>247.31</v>
      </c>
    </row>
    <row r="492" spans="1:4" x14ac:dyDescent="0.3">
      <c r="A492" s="4">
        <v>6.95</v>
      </c>
      <c r="B492" s="4">
        <v>6.73</v>
      </c>
      <c r="C492" s="4">
        <f t="shared" si="43"/>
        <v>-3.17</v>
      </c>
      <c r="D492" s="4">
        <f t="shared" si="44"/>
        <v>239.47</v>
      </c>
    </row>
    <row r="493" spans="1:4" x14ac:dyDescent="0.3">
      <c r="A493" s="4">
        <v>6.8</v>
      </c>
      <c r="C493" s="4">
        <v>-5</v>
      </c>
      <c r="D493" s="4">
        <f t="shared" si="44"/>
        <v>227.5</v>
      </c>
    </row>
    <row r="494" spans="1:4" x14ac:dyDescent="0.3">
      <c r="A494" s="4">
        <v>6.67</v>
      </c>
      <c r="B494" s="4">
        <v>6.95</v>
      </c>
      <c r="C494" s="4">
        <f t="shared" si="43"/>
        <v>4.2</v>
      </c>
      <c r="D494" s="4">
        <f t="shared" si="44"/>
        <v>237.06</v>
      </c>
    </row>
    <row r="495" spans="1:4" x14ac:dyDescent="0.3">
      <c r="A495" s="4">
        <v>7.4</v>
      </c>
      <c r="B495" s="4">
        <v>7.63</v>
      </c>
      <c r="C495" s="4">
        <f t="shared" si="43"/>
        <v>3.11</v>
      </c>
      <c r="D495" s="4">
        <f t="shared" si="44"/>
        <v>244.43</v>
      </c>
    </row>
    <row r="496" spans="1:4" x14ac:dyDescent="0.3">
      <c r="A496" s="4">
        <v>8.06</v>
      </c>
      <c r="B496" s="4">
        <v>8.31</v>
      </c>
      <c r="C496" s="4">
        <f t="shared" si="43"/>
        <v>3.1</v>
      </c>
      <c r="D496" s="4">
        <f t="shared" si="44"/>
        <v>252.01</v>
      </c>
    </row>
    <row r="497" spans="1:4" x14ac:dyDescent="0.3">
      <c r="A497" s="4">
        <v>8.44</v>
      </c>
      <c r="C497" s="4">
        <v>-5</v>
      </c>
      <c r="D497" s="4">
        <f t="shared" si="44"/>
        <v>239.41</v>
      </c>
    </row>
    <row r="498" spans="1:4" x14ac:dyDescent="0.3">
      <c r="A498" s="4">
        <v>8.77</v>
      </c>
      <c r="B498" s="4">
        <v>10.47</v>
      </c>
      <c r="C498" s="4">
        <f t="shared" si="43"/>
        <v>19.38</v>
      </c>
      <c r="D498" s="4">
        <f t="shared" si="44"/>
        <v>285.81</v>
      </c>
    </row>
    <row r="499" spans="1:4" x14ac:dyDescent="0.3">
      <c r="A499" s="4">
        <v>10.8</v>
      </c>
      <c r="C499" s="4">
        <v>-5</v>
      </c>
      <c r="D499" s="4">
        <f t="shared" si="44"/>
        <v>271.52</v>
      </c>
    </row>
    <row r="500" spans="1:4" x14ac:dyDescent="0.3">
      <c r="A500" s="4">
        <v>10.5</v>
      </c>
      <c r="B500" s="4">
        <v>11.5</v>
      </c>
      <c r="C500" s="4">
        <f t="shared" si="43"/>
        <v>9.52</v>
      </c>
      <c r="D500" s="4">
        <f t="shared" si="44"/>
        <v>297.37</v>
      </c>
    </row>
    <row r="501" spans="1:4" x14ac:dyDescent="0.3">
      <c r="A501" s="4">
        <v>10.85</v>
      </c>
      <c r="B501" s="4">
        <v>11.64</v>
      </c>
      <c r="C501" s="4">
        <f t="shared" si="43"/>
        <v>7.28</v>
      </c>
      <c r="D501" s="4">
        <f t="shared" si="44"/>
        <v>319.02</v>
      </c>
    </row>
    <row r="502" spans="1:4" x14ac:dyDescent="0.3">
      <c r="A502" s="4">
        <v>11.25</v>
      </c>
      <c r="B502" s="4">
        <v>11.7</v>
      </c>
      <c r="C502" s="4">
        <f t="shared" si="43"/>
        <v>4</v>
      </c>
      <c r="D502" s="4">
        <f t="shared" si="44"/>
        <v>331.78</v>
      </c>
    </row>
    <row r="503" spans="1:4" x14ac:dyDescent="0.3">
      <c r="A503" s="4">
        <v>11.9</v>
      </c>
      <c r="B503" s="4">
        <v>11.7</v>
      </c>
      <c r="C503" s="4">
        <f t="shared" si="43"/>
        <v>-1.68</v>
      </c>
      <c r="D503" s="4">
        <f t="shared" si="44"/>
        <v>326.20999999999998</v>
      </c>
    </row>
    <row r="504" spans="1:4" x14ac:dyDescent="0.3">
      <c r="A504" s="4">
        <v>11.6</v>
      </c>
      <c r="B504" s="4">
        <v>15</v>
      </c>
      <c r="C504" s="4">
        <f t="shared" si="43"/>
        <v>29.31</v>
      </c>
      <c r="D504" s="4">
        <f t="shared" si="44"/>
        <v>421.82</v>
      </c>
    </row>
    <row r="505" spans="1:4" x14ac:dyDescent="0.3">
      <c r="A505" s="4">
        <v>15.4</v>
      </c>
      <c r="C505" s="4">
        <v>-5</v>
      </c>
      <c r="D505" s="4">
        <f t="shared" si="44"/>
        <v>400.73</v>
      </c>
    </row>
    <row r="506" spans="1:4" x14ac:dyDescent="0.3">
      <c r="A506" s="4">
        <v>14.5</v>
      </c>
      <c r="B506" s="4">
        <v>15.4</v>
      </c>
      <c r="C506" s="4">
        <f t="shared" si="43"/>
        <v>6.21</v>
      </c>
      <c r="D506" s="4">
        <f t="shared" si="44"/>
        <v>425.62</v>
      </c>
    </row>
    <row r="507" spans="1:4" x14ac:dyDescent="0.3">
      <c r="A507" s="4">
        <v>13.6</v>
      </c>
      <c r="B507" s="4">
        <v>13</v>
      </c>
      <c r="C507" s="4">
        <f t="shared" si="43"/>
        <v>-4.41</v>
      </c>
      <c r="D507" s="4">
        <f t="shared" si="44"/>
        <v>406.85</v>
      </c>
    </row>
    <row r="508" spans="1:4" x14ac:dyDescent="0.3">
      <c r="A508" s="4">
        <v>13.9</v>
      </c>
      <c r="B508" s="4">
        <v>15</v>
      </c>
      <c r="C508" s="4">
        <f t="shared" si="43"/>
        <v>7.91</v>
      </c>
      <c r="D508" s="4">
        <f t="shared" si="44"/>
        <v>439.03</v>
      </c>
    </row>
    <row r="509" spans="1:4" x14ac:dyDescent="0.3">
      <c r="A509" s="4">
        <v>16.399999999999999</v>
      </c>
      <c r="B509" s="4">
        <v>15.8</v>
      </c>
      <c r="C509" s="4">
        <f t="shared" si="43"/>
        <v>-3.66</v>
      </c>
      <c r="D509" s="4">
        <f t="shared" si="44"/>
        <v>422.96</v>
      </c>
    </row>
    <row r="510" spans="1:4" x14ac:dyDescent="0.3">
      <c r="A510" s="4">
        <v>16.2</v>
      </c>
      <c r="B510" s="4">
        <v>15.6</v>
      </c>
      <c r="C510" s="4">
        <f t="shared" si="43"/>
        <v>-3.7</v>
      </c>
      <c r="D510" s="4">
        <f t="shared" si="44"/>
        <v>407.31</v>
      </c>
    </row>
    <row r="511" spans="1:4" x14ac:dyDescent="0.3">
      <c r="A511" s="4">
        <v>15.9</v>
      </c>
      <c r="B511" s="4">
        <v>15.5</v>
      </c>
      <c r="C511" s="4">
        <f t="shared" si="43"/>
        <v>-2.52</v>
      </c>
      <c r="D511" s="4">
        <f t="shared" si="44"/>
        <v>397.05</v>
      </c>
    </row>
    <row r="512" spans="1:4" x14ac:dyDescent="0.3">
      <c r="A512" s="4">
        <v>15.9</v>
      </c>
      <c r="B512" s="4">
        <v>15.6</v>
      </c>
      <c r="C512" s="4">
        <f t="shared" si="43"/>
        <v>-1.89</v>
      </c>
      <c r="D512" s="4">
        <f t="shared" si="44"/>
        <v>389.55</v>
      </c>
    </row>
    <row r="513" spans="1:4" x14ac:dyDescent="0.3">
      <c r="A513" s="4">
        <v>16.149999999999999</v>
      </c>
      <c r="B513" s="4">
        <v>17</v>
      </c>
      <c r="C513" s="4">
        <f t="shared" si="43"/>
        <v>5.26</v>
      </c>
      <c r="D513" s="4">
        <f t="shared" si="44"/>
        <v>410.04</v>
      </c>
    </row>
    <row r="514" spans="1:4" x14ac:dyDescent="0.3">
      <c r="A514" s="4">
        <v>14.78</v>
      </c>
      <c r="B514" s="4">
        <v>15.6</v>
      </c>
      <c r="C514" s="4">
        <f t="shared" si="43"/>
        <v>5.55</v>
      </c>
      <c r="D514" s="4">
        <f t="shared" si="44"/>
        <v>432.8</v>
      </c>
    </row>
    <row r="515" spans="1:4" x14ac:dyDescent="0.3">
      <c r="A515" s="4">
        <v>13</v>
      </c>
      <c r="B515" s="4">
        <v>13.17</v>
      </c>
      <c r="C515" s="4">
        <f t="shared" si="43"/>
        <v>1.31</v>
      </c>
      <c r="D515" s="4">
        <f t="shared" si="44"/>
        <v>438.47</v>
      </c>
    </row>
    <row r="517" spans="1:4" s="6" customFormat="1" x14ac:dyDescent="0.3">
      <c r="A517" s="5" t="s">
        <v>104</v>
      </c>
      <c r="B517" s="5">
        <v>2021</v>
      </c>
      <c r="C517" s="5"/>
      <c r="D517" s="5">
        <v>200</v>
      </c>
    </row>
    <row r="518" spans="1:4" x14ac:dyDescent="0.3">
      <c r="A518" s="4">
        <v>12.85</v>
      </c>
      <c r="B518" s="4">
        <v>13.7</v>
      </c>
      <c r="C518" s="4">
        <f t="shared" ref="C518:C557" si="45">ROUND((B518 - A518) / A518 * 100, 2)</f>
        <v>6.61</v>
      </c>
      <c r="D518" s="4">
        <f t="shared" ref="D518:D557" si="46">ROUND(D517 * (1 + C518 / 100), 2)</f>
        <v>213.22</v>
      </c>
    </row>
    <row r="519" spans="1:4" x14ac:dyDescent="0.3">
      <c r="A519" s="4">
        <v>14.25</v>
      </c>
      <c r="B519" s="4">
        <v>14.04</v>
      </c>
      <c r="C519" s="4">
        <f t="shared" si="45"/>
        <v>-1.47</v>
      </c>
      <c r="D519" s="4">
        <f t="shared" si="46"/>
        <v>210.09</v>
      </c>
    </row>
    <row r="520" spans="1:4" x14ac:dyDescent="0.3">
      <c r="A520" s="4">
        <v>14.65</v>
      </c>
      <c r="B520" s="4">
        <v>14.9</v>
      </c>
      <c r="C520" s="4">
        <f t="shared" si="45"/>
        <v>1.71</v>
      </c>
      <c r="D520" s="4">
        <f t="shared" si="46"/>
        <v>213.68</v>
      </c>
    </row>
    <row r="521" spans="1:4" x14ac:dyDescent="0.3">
      <c r="A521" s="4">
        <v>15.4</v>
      </c>
      <c r="C521" s="4">
        <v>-5</v>
      </c>
      <c r="D521" s="4">
        <f t="shared" si="46"/>
        <v>203</v>
      </c>
    </row>
    <row r="522" spans="1:4" x14ac:dyDescent="0.3">
      <c r="A522" s="4">
        <v>14.47</v>
      </c>
      <c r="B522" s="4">
        <v>15.4</v>
      </c>
      <c r="C522" s="4">
        <f t="shared" si="45"/>
        <v>6.43</v>
      </c>
      <c r="D522" s="4">
        <f t="shared" si="46"/>
        <v>216.05</v>
      </c>
    </row>
    <row r="523" spans="1:4" x14ac:dyDescent="0.3">
      <c r="A523" s="4">
        <v>17</v>
      </c>
      <c r="B523" s="4">
        <v>17.98</v>
      </c>
      <c r="C523" s="4">
        <f t="shared" si="45"/>
        <v>5.76</v>
      </c>
      <c r="D523" s="4">
        <f t="shared" si="46"/>
        <v>228.49</v>
      </c>
    </row>
    <row r="524" spans="1:4" x14ac:dyDescent="0.3">
      <c r="A524" s="4">
        <v>15.93</v>
      </c>
      <c r="B524" s="4">
        <v>17.600000000000001</v>
      </c>
      <c r="C524" s="4">
        <f t="shared" si="45"/>
        <v>10.48</v>
      </c>
      <c r="D524" s="4">
        <f t="shared" si="46"/>
        <v>252.44</v>
      </c>
    </row>
    <row r="525" spans="1:4" x14ac:dyDescent="0.3">
      <c r="A525" s="4">
        <v>19.39</v>
      </c>
      <c r="C525" s="4">
        <v>-5</v>
      </c>
      <c r="D525" s="4">
        <f t="shared" si="46"/>
        <v>239.82</v>
      </c>
    </row>
    <row r="526" spans="1:4" x14ac:dyDescent="0.3">
      <c r="A526" s="4">
        <v>17.7</v>
      </c>
      <c r="B526" s="4">
        <v>19.899999999999999</v>
      </c>
      <c r="C526" s="4">
        <f t="shared" si="45"/>
        <v>12.43</v>
      </c>
      <c r="D526" s="4">
        <f t="shared" si="46"/>
        <v>269.63</v>
      </c>
    </row>
    <row r="527" spans="1:4" x14ac:dyDescent="0.3">
      <c r="A527" s="4">
        <v>20.6</v>
      </c>
      <c r="B527" s="4">
        <v>20.5</v>
      </c>
      <c r="C527" s="4">
        <f t="shared" si="45"/>
        <v>-0.49</v>
      </c>
      <c r="D527" s="4">
        <f t="shared" si="46"/>
        <v>268.31</v>
      </c>
    </row>
    <row r="528" spans="1:4" x14ac:dyDescent="0.3">
      <c r="A528" s="4">
        <v>22.55</v>
      </c>
      <c r="C528" s="4">
        <v>-5</v>
      </c>
      <c r="D528" s="4">
        <f t="shared" si="46"/>
        <v>254.89</v>
      </c>
    </row>
    <row r="529" spans="1:4" x14ac:dyDescent="0.3">
      <c r="A529" s="4">
        <v>21.43</v>
      </c>
      <c r="B529" s="4">
        <v>20.67</v>
      </c>
      <c r="C529" s="4">
        <f t="shared" si="45"/>
        <v>-3.55</v>
      </c>
      <c r="D529" s="4">
        <f t="shared" si="46"/>
        <v>245.84</v>
      </c>
    </row>
    <row r="530" spans="1:4" x14ac:dyDescent="0.3">
      <c r="A530" s="4">
        <v>20.149999999999999</v>
      </c>
      <c r="B530" s="4">
        <v>22.5</v>
      </c>
      <c r="C530" s="4">
        <f t="shared" si="45"/>
        <v>11.66</v>
      </c>
      <c r="D530" s="4">
        <f t="shared" si="46"/>
        <v>274.5</v>
      </c>
    </row>
    <row r="531" spans="1:4" x14ac:dyDescent="0.3">
      <c r="A531" s="4">
        <v>24.18</v>
      </c>
      <c r="C531" s="4">
        <v>-5</v>
      </c>
      <c r="D531" s="4">
        <f t="shared" si="46"/>
        <v>260.77999999999997</v>
      </c>
    </row>
    <row r="532" spans="1:4" x14ac:dyDescent="0.3">
      <c r="A532" s="4">
        <v>22.9</v>
      </c>
      <c r="B532" s="4">
        <v>22.76</v>
      </c>
      <c r="C532" s="4">
        <f t="shared" si="45"/>
        <v>-0.61</v>
      </c>
      <c r="D532" s="4">
        <f t="shared" si="46"/>
        <v>259.19</v>
      </c>
    </row>
    <row r="533" spans="1:4" x14ac:dyDescent="0.3">
      <c r="A533" s="4">
        <v>17.3</v>
      </c>
      <c r="B533" s="4">
        <v>18.600000000000001</v>
      </c>
      <c r="C533" s="4">
        <f t="shared" si="45"/>
        <v>7.51</v>
      </c>
      <c r="D533" s="4">
        <f t="shared" si="46"/>
        <v>278.66000000000003</v>
      </c>
    </row>
    <row r="534" spans="1:4" x14ac:dyDescent="0.3">
      <c r="A534" s="4">
        <v>19</v>
      </c>
      <c r="B534" s="4">
        <v>19.899999999999999</v>
      </c>
      <c r="C534" s="4">
        <f t="shared" si="45"/>
        <v>4.74</v>
      </c>
      <c r="D534" s="4">
        <f t="shared" si="46"/>
        <v>291.87</v>
      </c>
    </row>
    <row r="535" spans="1:4" x14ac:dyDescent="0.3">
      <c r="A535" s="4">
        <v>18.8</v>
      </c>
      <c r="B535" s="4">
        <v>18.09</v>
      </c>
      <c r="C535" s="4">
        <f t="shared" si="45"/>
        <v>-3.78</v>
      </c>
      <c r="D535" s="4">
        <f t="shared" si="46"/>
        <v>280.83999999999997</v>
      </c>
    </row>
    <row r="536" spans="1:4" x14ac:dyDescent="0.3">
      <c r="A536" s="4">
        <v>18.899999999999999</v>
      </c>
      <c r="B536" s="4">
        <v>18.23</v>
      </c>
      <c r="C536" s="4">
        <f t="shared" si="45"/>
        <v>-3.54</v>
      </c>
      <c r="D536" s="4">
        <f t="shared" si="46"/>
        <v>270.89999999999998</v>
      </c>
    </row>
    <row r="537" spans="1:4" x14ac:dyDescent="0.3">
      <c r="A537" s="4">
        <v>17.649999999999999</v>
      </c>
      <c r="C537" s="4">
        <v>-5</v>
      </c>
      <c r="D537" s="4">
        <f t="shared" si="46"/>
        <v>257.36</v>
      </c>
    </row>
    <row r="538" spans="1:4" x14ac:dyDescent="0.3">
      <c r="A538" s="4">
        <v>17.75</v>
      </c>
      <c r="B538" s="4">
        <v>19.2</v>
      </c>
      <c r="C538" s="4">
        <f t="shared" si="45"/>
        <v>8.17</v>
      </c>
      <c r="D538" s="4">
        <f t="shared" si="46"/>
        <v>278.39</v>
      </c>
    </row>
    <row r="539" spans="1:4" x14ac:dyDescent="0.3">
      <c r="A539" s="4">
        <v>19.55</v>
      </c>
      <c r="B539" s="4">
        <v>20.55</v>
      </c>
      <c r="C539" s="4">
        <f t="shared" si="45"/>
        <v>5.12</v>
      </c>
      <c r="D539" s="4">
        <f t="shared" si="46"/>
        <v>292.64</v>
      </c>
    </row>
    <row r="540" spans="1:4" x14ac:dyDescent="0.3">
      <c r="A540" s="4">
        <v>19.350000000000001</v>
      </c>
      <c r="B540" s="4">
        <v>19.600000000000001</v>
      </c>
      <c r="C540" s="4">
        <f t="shared" si="45"/>
        <v>1.29</v>
      </c>
      <c r="D540" s="4">
        <f t="shared" si="46"/>
        <v>296.42</v>
      </c>
    </row>
    <row r="541" spans="1:4" x14ac:dyDescent="0.3">
      <c r="A541" s="4">
        <v>14.95</v>
      </c>
      <c r="B541" s="4">
        <v>16.98</v>
      </c>
      <c r="C541" s="4">
        <f t="shared" si="45"/>
        <v>13.58</v>
      </c>
      <c r="D541" s="4">
        <f t="shared" si="46"/>
        <v>336.67</v>
      </c>
    </row>
    <row r="542" spans="1:4" x14ac:dyDescent="0.3">
      <c r="A542" s="4">
        <v>17.88</v>
      </c>
      <c r="B542" s="4">
        <v>18.2</v>
      </c>
      <c r="C542" s="4">
        <f t="shared" si="45"/>
        <v>1.79</v>
      </c>
      <c r="D542" s="4">
        <f t="shared" si="46"/>
        <v>342.7</v>
      </c>
    </row>
    <row r="543" spans="1:4" x14ac:dyDescent="0.3">
      <c r="A543" s="4">
        <v>18.55</v>
      </c>
      <c r="B543" s="4">
        <v>19.12</v>
      </c>
      <c r="C543" s="4">
        <f t="shared" si="45"/>
        <v>3.07</v>
      </c>
      <c r="D543" s="4">
        <f t="shared" si="46"/>
        <v>353.22</v>
      </c>
    </row>
    <row r="544" spans="1:4" x14ac:dyDescent="0.3">
      <c r="A544" s="4">
        <v>18.25</v>
      </c>
      <c r="B544" s="4">
        <v>19.3</v>
      </c>
      <c r="C544" s="4">
        <f t="shared" si="45"/>
        <v>5.75</v>
      </c>
      <c r="D544" s="4">
        <f t="shared" si="46"/>
        <v>373.53</v>
      </c>
    </row>
    <row r="545" spans="1:4" x14ac:dyDescent="0.3">
      <c r="A545" s="4">
        <v>17.850000000000001</v>
      </c>
      <c r="B545" s="4">
        <v>17.2</v>
      </c>
      <c r="C545" s="4">
        <f t="shared" si="45"/>
        <v>-3.64</v>
      </c>
      <c r="D545" s="4">
        <f t="shared" si="46"/>
        <v>359.93</v>
      </c>
    </row>
    <row r="546" spans="1:4" x14ac:dyDescent="0.3">
      <c r="A546" s="4">
        <v>17.55</v>
      </c>
      <c r="B546" s="4">
        <v>19.12</v>
      </c>
      <c r="C546" s="4">
        <f t="shared" si="45"/>
        <v>8.9499999999999993</v>
      </c>
      <c r="D546" s="4">
        <f t="shared" si="46"/>
        <v>392.14</v>
      </c>
    </row>
    <row r="547" spans="1:4" x14ac:dyDescent="0.3">
      <c r="A547" s="4">
        <v>18.5</v>
      </c>
      <c r="B547" s="4">
        <v>18.16</v>
      </c>
      <c r="C547" s="4">
        <f t="shared" si="45"/>
        <v>-1.84</v>
      </c>
      <c r="D547" s="4">
        <f t="shared" si="46"/>
        <v>384.92</v>
      </c>
    </row>
    <row r="548" spans="1:4" x14ac:dyDescent="0.3">
      <c r="A548" s="4">
        <v>21.7</v>
      </c>
      <c r="C548" s="4">
        <v>-5</v>
      </c>
      <c r="D548" s="4">
        <f t="shared" si="46"/>
        <v>365.67</v>
      </c>
    </row>
    <row r="549" spans="1:4" x14ac:dyDescent="0.3">
      <c r="A549" s="4">
        <v>20.399999999999999</v>
      </c>
      <c r="B549" s="4">
        <v>21.4</v>
      </c>
      <c r="C549" s="4">
        <f t="shared" si="45"/>
        <v>4.9000000000000004</v>
      </c>
      <c r="D549" s="4">
        <f t="shared" si="46"/>
        <v>383.59</v>
      </c>
    </row>
    <row r="550" spans="1:4" x14ac:dyDescent="0.3">
      <c r="A550" s="4">
        <v>21.8</v>
      </c>
      <c r="B550" s="4">
        <v>23.7</v>
      </c>
      <c r="C550" s="4">
        <f t="shared" si="45"/>
        <v>8.7200000000000006</v>
      </c>
      <c r="D550" s="4">
        <f t="shared" si="46"/>
        <v>417.04</v>
      </c>
    </row>
    <row r="551" spans="1:4" x14ac:dyDescent="0.3">
      <c r="A551" s="4">
        <v>23.15</v>
      </c>
      <c r="B551" s="4">
        <v>25.3</v>
      </c>
      <c r="C551" s="4">
        <f t="shared" si="45"/>
        <v>9.2899999999999991</v>
      </c>
      <c r="D551" s="4">
        <f t="shared" si="46"/>
        <v>455.78</v>
      </c>
    </row>
    <row r="552" spans="1:4" x14ac:dyDescent="0.3">
      <c r="A552" s="4">
        <v>23</v>
      </c>
      <c r="B552" s="4">
        <v>22.26</v>
      </c>
      <c r="C552" s="4">
        <f t="shared" si="45"/>
        <v>-3.22</v>
      </c>
      <c r="D552" s="4">
        <f t="shared" si="46"/>
        <v>441.1</v>
      </c>
    </row>
    <row r="553" spans="1:4" x14ac:dyDescent="0.3">
      <c r="A553" s="4">
        <v>22.5</v>
      </c>
      <c r="B553" s="4">
        <v>24.25</v>
      </c>
      <c r="C553" s="4">
        <f t="shared" si="45"/>
        <v>7.78</v>
      </c>
      <c r="D553" s="4">
        <f t="shared" si="46"/>
        <v>475.42</v>
      </c>
    </row>
    <row r="554" spans="1:4" x14ac:dyDescent="0.3">
      <c r="A554" s="4">
        <v>23.3</v>
      </c>
      <c r="B554" s="4">
        <v>22.76</v>
      </c>
      <c r="C554" s="4">
        <f t="shared" si="45"/>
        <v>-2.3199999999999998</v>
      </c>
      <c r="D554" s="4">
        <f t="shared" si="46"/>
        <v>464.39</v>
      </c>
    </row>
    <row r="555" spans="1:4" x14ac:dyDescent="0.3">
      <c r="A555" s="4">
        <v>24.82</v>
      </c>
      <c r="C555" s="4">
        <v>-5</v>
      </c>
      <c r="D555" s="4">
        <f t="shared" si="46"/>
        <v>441.17</v>
      </c>
    </row>
    <row r="556" spans="1:4" x14ac:dyDescent="0.3">
      <c r="A556" s="4">
        <v>25.15</v>
      </c>
      <c r="B556" s="4">
        <v>25.18</v>
      </c>
      <c r="C556" s="4">
        <f t="shared" si="45"/>
        <v>0.12</v>
      </c>
      <c r="D556" s="4">
        <f t="shared" si="46"/>
        <v>441.7</v>
      </c>
    </row>
    <row r="557" spans="1:4" x14ac:dyDescent="0.3">
      <c r="A557" s="4">
        <v>25.5</v>
      </c>
      <c r="B557" s="4">
        <v>29.8</v>
      </c>
      <c r="C557" s="4">
        <f t="shared" si="45"/>
        <v>16.86</v>
      </c>
      <c r="D557" s="4">
        <f t="shared" si="46"/>
        <v>516.16999999999996</v>
      </c>
    </row>
    <row r="558" spans="1:4" x14ac:dyDescent="0.3">
      <c r="A558" s="4">
        <v>21.8</v>
      </c>
    </row>
    <row r="560" spans="1:4" s="6" customFormat="1" x14ac:dyDescent="0.3">
      <c r="A560" s="5" t="s">
        <v>32</v>
      </c>
      <c r="B560" s="5">
        <v>2024</v>
      </c>
      <c r="C560" s="5"/>
      <c r="D560" s="5">
        <v>200</v>
      </c>
    </row>
    <row r="561" spans="1:4" x14ac:dyDescent="0.3">
      <c r="A561" s="4">
        <v>11.4</v>
      </c>
      <c r="B561" s="4">
        <v>11.8</v>
      </c>
      <c r="C561" s="4">
        <f t="shared" ref="C561:C573" si="47">ROUND((B561 - A561) / A561 * 100, 2)</f>
        <v>3.51</v>
      </c>
      <c r="D561" s="4">
        <f t="shared" ref="D561:D573" si="48">ROUND(D560 * (1 + C561 / 100), 2)</f>
        <v>207.02</v>
      </c>
    </row>
    <row r="562" spans="1:4" x14ac:dyDescent="0.3">
      <c r="A562" s="4">
        <v>12.3</v>
      </c>
      <c r="B562" s="4">
        <v>11.85</v>
      </c>
      <c r="C562" s="4">
        <f t="shared" si="47"/>
        <v>-3.66</v>
      </c>
      <c r="D562" s="4">
        <f t="shared" si="48"/>
        <v>199.44</v>
      </c>
    </row>
    <row r="563" spans="1:4" x14ac:dyDescent="0.3">
      <c r="A563" s="4">
        <v>12.1</v>
      </c>
      <c r="B563" s="4">
        <v>11.9</v>
      </c>
      <c r="C563" s="4">
        <f t="shared" si="47"/>
        <v>-1.65</v>
      </c>
      <c r="D563" s="4">
        <f t="shared" si="48"/>
        <v>196.15</v>
      </c>
    </row>
    <row r="564" spans="1:4" x14ac:dyDescent="0.3">
      <c r="A564" s="4">
        <v>12</v>
      </c>
      <c r="B564" s="4">
        <v>11.9</v>
      </c>
      <c r="C564" s="4">
        <f t="shared" si="47"/>
        <v>-0.83</v>
      </c>
      <c r="D564" s="4">
        <f t="shared" si="48"/>
        <v>194.52</v>
      </c>
    </row>
    <row r="565" spans="1:4" x14ac:dyDescent="0.3">
      <c r="A565" s="4">
        <v>11</v>
      </c>
      <c r="B565" s="4">
        <v>11.8</v>
      </c>
      <c r="C565" s="4">
        <f t="shared" si="47"/>
        <v>7.27</v>
      </c>
      <c r="D565" s="4">
        <f t="shared" si="48"/>
        <v>208.66</v>
      </c>
    </row>
    <row r="566" spans="1:4" x14ac:dyDescent="0.3">
      <c r="A566" s="4">
        <v>13.3</v>
      </c>
      <c r="B566" s="4">
        <v>18.5</v>
      </c>
      <c r="C566" s="4">
        <f t="shared" si="47"/>
        <v>39.1</v>
      </c>
      <c r="D566" s="4">
        <f t="shared" si="48"/>
        <v>290.25</v>
      </c>
    </row>
    <row r="567" spans="1:4" x14ac:dyDescent="0.3">
      <c r="A567" s="4">
        <v>19.149999999999999</v>
      </c>
      <c r="B567" s="4">
        <v>20.3</v>
      </c>
      <c r="C567" s="4">
        <f t="shared" si="47"/>
        <v>6.01</v>
      </c>
      <c r="D567" s="4">
        <f t="shared" si="48"/>
        <v>307.69</v>
      </c>
    </row>
    <row r="568" spans="1:4" x14ac:dyDescent="0.3">
      <c r="A568" s="4">
        <v>21.3</v>
      </c>
      <c r="B568" s="4">
        <v>20.9</v>
      </c>
      <c r="C568" s="4">
        <f t="shared" si="47"/>
        <v>-1.88</v>
      </c>
      <c r="D568" s="4">
        <f t="shared" si="48"/>
        <v>301.91000000000003</v>
      </c>
    </row>
    <row r="569" spans="1:4" x14ac:dyDescent="0.3">
      <c r="A569" s="4">
        <v>16.75</v>
      </c>
      <c r="B569" s="4">
        <v>16.350000000000001</v>
      </c>
      <c r="C569" s="4">
        <f t="shared" si="47"/>
        <v>-2.39</v>
      </c>
      <c r="D569" s="4">
        <f t="shared" si="48"/>
        <v>294.69</v>
      </c>
    </row>
    <row r="570" spans="1:4" x14ac:dyDescent="0.3">
      <c r="A570" s="4">
        <v>14.5</v>
      </c>
      <c r="B570" s="4">
        <v>15.45</v>
      </c>
      <c r="C570" s="4">
        <f t="shared" si="47"/>
        <v>6.55</v>
      </c>
      <c r="D570" s="4">
        <f t="shared" si="48"/>
        <v>313.99</v>
      </c>
    </row>
    <row r="571" spans="1:4" x14ac:dyDescent="0.3">
      <c r="A571" s="4">
        <v>15.4</v>
      </c>
      <c r="B571" s="4">
        <v>14.75</v>
      </c>
      <c r="C571" s="4">
        <f t="shared" si="47"/>
        <v>-4.22</v>
      </c>
      <c r="D571" s="4">
        <f t="shared" si="48"/>
        <v>300.74</v>
      </c>
    </row>
    <row r="572" spans="1:4" x14ac:dyDescent="0.3">
      <c r="A572" s="4">
        <v>15.1</v>
      </c>
      <c r="B572" s="4">
        <v>16.850000000000001</v>
      </c>
      <c r="C572" s="4">
        <f t="shared" si="47"/>
        <v>11.59</v>
      </c>
      <c r="D572" s="4">
        <f t="shared" si="48"/>
        <v>335.6</v>
      </c>
    </row>
    <row r="573" spans="1:4" x14ac:dyDescent="0.3">
      <c r="A573" s="4">
        <v>17.100000000000001</v>
      </c>
      <c r="B573" s="4">
        <v>16.7</v>
      </c>
      <c r="C573" s="4">
        <f t="shared" si="47"/>
        <v>-2.34</v>
      </c>
      <c r="D573" s="4">
        <f t="shared" si="48"/>
        <v>327.75</v>
      </c>
    </row>
    <row r="574" spans="1:4" x14ac:dyDescent="0.3">
      <c r="A574" s="4">
        <v>13.8</v>
      </c>
    </row>
    <row r="576" spans="1:4" s="6" customFormat="1" x14ac:dyDescent="0.3">
      <c r="A576" s="5" t="s">
        <v>107</v>
      </c>
      <c r="B576" s="5">
        <v>2024</v>
      </c>
      <c r="C576" s="5"/>
      <c r="D576" s="5">
        <v>200</v>
      </c>
    </row>
    <row r="577" spans="1:4" x14ac:dyDescent="0.3">
      <c r="A577" s="4">
        <v>19.399999999999999</v>
      </c>
      <c r="C577" s="4">
        <v>-5</v>
      </c>
      <c r="D577" s="4">
        <f t="shared" ref="D577:D586" si="49">ROUND(D576 * (1 + C577 / 100), 2)</f>
        <v>190</v>
      </c>
    </row>
    <row r="578" spans="1:4" x14ac:dyDescent="0.3">
      <c r="A578" s="4">
        <v>19</v>
      </c>
      <c r="B578" s="4">
        <v>18.37</v>
      </c>
      <c r="C578" s="4">
        <f t="shared" ref="C578:C586" si="50">ROUND((B578 - A578) / A578 * 100, 2)</f>
        <v>-3.32</v>
      </c>
      <c r="D578" s="4">
        <f t="shared" si="49"/>
        <v>183.69</v>
      </c>
    </row>
    <row r="579" spans="1:4" x14ac:dyDescent="0.3">
      <c r="A579" s="4">
        <v>18.5</v>
      </c>
      <c r="B579" s="4">
        <v>19.2</v>
      </c>
      <c r="C579" s="4">
        <f t="shared" si="50"/>
        <v>3.78</v>
      </c>
      <c r="D579" s="4">
        <f t="shared" si="49"/>
        <v>190.63</v>
      </c>
    </row>
    <row r="580" spans="1:4" x14ac:dyDescent="0.3">
      <c r="A580" s="4">
        <v>18.850000000000001</v>
      </c>
      <c r="B580" s="4">
        <v>19.899999999999999</v>
      </c>
      <c r="C580" s="4">
        <f t="shared" si="50"/>
        <v>5.57</v>
      </c>
      <c r="D580" s="4">
        <f t="shared" si="49"/>
        <v>201.25</v>
      </c>
    </row>
    <row r="581" spans="1:4" x14ac:dyDescent="0.3">
      <c r="A581" s="4">
        <v>19.75</v>
      </c>
      <c r="B581" s="4">
        <v>18.91</v>
      </c>
      <c r="C581" s="4">
        <f t="shared" si="50"/>
        <v>-4.25</v>
      </c>
      <c r="D581" s="4">
        <f t="shared" si="49"/>
        <v>192.7</v>
      </c>
    </row>
    <row r="582" spans="1:4" x14ac:dyDescent="0.3">
      <c r="A582" s="4">
        <v>16.7</v>
      </c>
      <c r="B582" s="4">
        <v>16.23</v>
      </c>
      <c r="C582" s="4">
        <f t="shared" si="50"/>
        <v>-2.81</v>
      </c>
      <c r="D582" s="4">
        <f t="shared" si="49"/>
        <v>187.29</v>
      </c>
    </row>
    <row r="583" spans="1:4" x14ac:dyDescent="0.3">
      <c r="A583" s="4">
        <v>16.66</v>
      </c>
      <c r="B583" s="4">
        <v>16.350000000000001</v>
      </c>
      <c r="C583" s="4">
        <f t="shared" si="50"/>
        <v>-1.86</v>
      </c>
      <c r="D583" s="4">
        <f t="shared" si="49"/>
        <v>183.81</v>
      </c>
    </row>
    <row r="584" spans="1:4" x14ac:dyDescent="0.3">
      <c r="A584" s="4">
        <v>16.5</v>
      </c>
      <c r="C584" s="4">
        <v>-5</v>
      </c>
      <c r="D584" s="4">
        <f t="shared" si="49"/>
        <v>174.62</v>
      </c>
    </row>
    <row r="585" spans="1:4" x14ac:dyDescent="0.3">
      <c r="A585" s="4">
        <v>15.3</v>
      </c>
      <c r="B585" s="4">
        <v>14.5</v>
      </c>
      <c r="C585" s="4">
        <f t="shared" si="50"/>
        <v>-5.23</v>
      </c>
      <c r="D585" s="4">
        <f t="shared" si="49"/>
        <v>165.49</v>
      </c>
    </row>
    <row r="586" spans="1:4" x14ac:dyDescent="0.3">
      <c r="A586" s="4">
        <v>14</v>
      </c>
      <c r="B586" s="4">
        <v>13.65</v>
      </c>
      <c r="C586" s="4">
        <f t="shared" si="50"/>
        <v>-2.5</v>
      </c>
      <c r="D586" s="4">
        <f t="shared" si="49"/>
        <v>161.35</v>
      </c>
    </row>
    <row r="587" spans="1:4" x14ac:dyDescent="0.3">
      <c r="A587" s="4">
        <v>12.3</v>
      </c>
    </row>
    <row r="590" spans="1:4" s="6" customFormat="1" x14ac:dyDescent="0.3">
      <c r="A590" s="5" t="s">
        <v>105</v>
      </c>
      <c r="B590" s="5">
        <v>2024</v>
      </c>
      <c r="C590" s="5"/>
      <c r="D590" s="5">
        <v>200</v>
      </c>
    </row>
    <row r="591" spans="1:4" x14ac:dyDescent="0.3">
      <c r="A591" s="4">
        <v>28.14</v>
      </c>
      <c r="C591" s="4">
        <v>-5</v>
      </c>
      <c r="D591" s="4">
        <f t="shared" ref="D591:D601" si="51">ROUND(D590 * (1 + C591 / 100), 2)</f>
        <v>190</v>
      </c>
    </row>
    <row r="592" spans="1:4" x14ac:dyDescent="0.3">
      <c r="A592" s="4">
        <v>27.9</v>
      </c>
      <c r="B592" s="4">
        <v>28.55</v>
      </c>
      <c r="C592" s="4">
        <f t="shared" ref="C592:C601" si="52">ROUND((B592 - A592) / A592 * 100, 2)</f>
        <v>2.33</v>
      </c>
      <c r="D592" s="4">
        <f t="shared" si="51"/>
        <v>194.43</v>
      </c>
    </row>
    <row r="593" spans="1:4" x14ac:dyDescent="0.3">
      <c r="A593" s="4">
        <v>28.1</v>
      </c>
      <c r="B593" s="4">
        <v>30.4</v>
      </c>
      <c r="C593" s="4">
        <f t="shared" si="52"/>
        <v>8.19</v>
      </c>
      <c r="D593" s="4">
        <f t="shared" si="51"/>
        <v>210.35</v>
      </c>
    </row>
    <row r="594" spans="1:4" x14ac:dyDescent="0.3">
      <c r="A594" s="4">
        <v>32.15</v>
      </c>
      <c r="B594" s="4">
        <v>34.299999999999997</v>
      </c>
      <c r="C594" s="4">
        <f t="shared" si="52"/>
        <v>6.69</v>
      </c>
      <c r="D594" s="4">
        <f t="shared" si="51"/>
        <v>224.42</v>
      </c>
    </row>
    <row r="595" spans="1:4" x14ac:dyDescent="0.3">
      <c r="A595" s="4">
        <v>32.4</v>
      </c>
      <c r="B595" s="4">
        <v>32.549999999999997</v>
      </c>
      <c r="C595" s="4">
        <f t="shared" si="52"/>
        <v>0.46</v>
      </c>
      <c r="D595" s="4">
        <f t="shared" si="51"/>
        <v>225.45</v>
      </c>
    </row>
    <row r="596" spans="1:4" x14ac:dyDescent="0.3">
      <c r="A596" s="4">
        <v>32.96</v>
      </c>
      <c r="B596" s="4">
        <v>32.78</v>
      </c>
      <c r="C596" s="4">
        <f t="shared" si="52"/>
        <v>-0.55000000000000004</v>
      </c>
      <c r="D596" s="4">
        <f t="shared" si="51"/>
        <v>224.21</v>
      </c>
    </row>
    <row r="597" spans="1:4" x14ac:dyDescent="0.3">
      <c r="A597" s="4">
        <v>33.25</v>
      </c>
      <c r="B597" s="4">
        <v>34.5</v>
      </c>
      <c r="C597" s="4">
        <f t="shared" si="52"/>
        <v>3.76</v>
      </c>
      <c r="D597" s="4">
        <f t="shared" si="51"/>
        <v>232.64</v>
      </c>
    </row>
    <row r="598" spans="1:4" x14ac:dyDescent="0.3">
      <c r="A598" s="4">
        <v>32.85</v>
      </c>
      <c r="B598" s="4">
        <v>34.25</v>
      </c>
      <c r="C598" s="4">
        <f t="shared" si="52"/>
        <v>4.26</v>
      </c>
      <c r="D598" s="4">
        <f t="shared" si="51"/>
        <v>242.55</v>
      </c>
    </row>
    <row r="599" spans="1:4" x14ac:dyDescent="0.3">
      <c r="A599" s="4">
        <v>33.6</v>
      </c>
      <c r="C599" s="4">
        <v>-5</v>
      </c>
      <c r="D599" s="4">
        <f t="shared" si="51"/>
        <v>230.42</v>
      </c>
    </row>
    <row r="600" spans="1:4" x14ac:dyDescent="0.3">
      <c r="A600" s="4">
        <v>33.200000000000003</v>
      </c>
      <c r="B600" s="4">
        <v>35.5</v>
      </c>
      <c r="C600" s="4">
        <f t="shared" si="52"/>
        <v>6.93</v>
      </c>
      <c r="D600" s="4">
        <f t="shared" si="51"/>
        <v>246.39</v>
      </c>
    </row>
    <row r="601" spans="1:4" x14ac:dyDescent="0.3">
      <c r="A601" s="4">
        <v>35.299999999999997</v>
      </c>
      <c r="B601" s="4">
        <v>34.799999999999997</v>
      </c>
      <c r="C601" s="4">
        <f t="shared" si="52"/>
        <v>-1.42</v>
      </c>
      <c r="D601" s="4">
        <f t="shared" si="51"/>
        <v>242.89</v>
      </c>
    </row>
    <row r="603" spans="1:4" s="6" customFormat="1" x14ac:dyDescent="0.3">
      <c r="A603" s="5" t="s">
        <v>420</v>
      </c>
      <c r="B603" s="5">
        <v>2023</v>
      </c>
      <c r="C603" s="5"/>
      <c r="D603" s="5">
        <v>200</v>
      </c>
    </row>
    <row r="604" spans="1:4" x14ac:dyDescent="0.3">
      <c r="A604" s="4">
        <v>12.26</v>
      </c>
      <c r="B604" s="4">
        <v>12.46</v>
      </c>
      <c r="C604" s="4">
        <f t="shared" ref="C604:C630" si="53">ROUND((B604 - A604) / A604 * 100, 2)</f>
        <v>1.63</v>
      </c>
      <c r="D604" s="4">
        <f t="shared" ref="D604:D630" si="54">ROUND(D603 * (1 + C604 / 100), 2)</f>
        <v>203.26</v>
      </c>
    </row>
    <row r="605" spans="1:4" x14ac:dyDescent="0.3">
      <c r="A605" s="4">
        <v>12.71</v>
      </c>
      <c r="B605" s="4">
        <v>11.93</v>
      </c>
      <c r="C605" s="4">
        <f t="shared" si="53"/>
        <v>-6.14</v>
      </c>
      <c r="D605" s="4">
        <f t="shared" si="54"/>
        <v>190.78</v>
      </c>
    </row>
    <row r="606" spans="1:4" x14ac:dyDescent="0.3">
      <c r="A606" s="4">
        <v>11.8</v>
      </c>
      <c r="B606" s="4">
        <v>12.7</v>
      </c>
      <c r="C606" s="4">
        <f t="shared" si="53"/>
        <v>7.63</v>
      </c>
      <c r="D606" s="4">
        <f t="shared" si="54"/>
        <v>205.34</v>
      </c>
    </row>
    <row r="607" spans="1:4" x14ac:dyDescent="0.3">
      <c r="A607" s="4">
        <v>12.6</v>
      </c>
      <c r="B607" s="4">
        <v>13.4</v>
      </c>
      <c r="C607" s="4">
        <f t="shared" si="53"/>
        <v>6.35</v>
      </c>
      <c r="D607" s="4">
        <f t="shared" si="54"/>
        <v>218.38</v>
      </c>
    </row>
    <row r="608" spans="1:4" x14ac:dyDescent="0.3">
      <c r="A608" s="4">
        <v>14</v>
      </c>
      <c r="B608" s="4">
        <v>15.55</v>
      </c>
      <c r="C608" s="4">
        <f t="shared" si="53"/>
        <v>11.07</v>
      </c>
      <c r="D608" s="4">
        <f t="shared" si="54"/>
        <v>242.55</v>
      </c>
    </row>
    <row r="609" spans="1:4" x14ac:dyDescent="0.3">
      <c r="A609" s="4">
        <v>15.9</v>
      </c>
      <c r="C609" s="4">
        <v>-6</v>
      </c>
      <c r="D609" s="4">
        <f t="shared" si="54"/>
        <v>228</v>
      </c>
    </row>
    <row r="610" spans="1:4" x14ac:dyDescent="0.3">
      <c r="A610" s="4">
        <v>15.55</v>
      </c>
      <c r="B610" s="4">
        <v>16.3</v>
      </c>
      <c r="C610" s="4">
        <f t="shared" si="53"/>
        <v>4.82</v>
      </c>
      <c r="D610" s="4">
        <f t="shared" si="54"/>
        <v>238.99</v>
      </c>
    </row>
    <row r="611" spans="1:4" x14ac:dyDescent="0.3">
      <c r="A611" s="4">
        <v>16.45</v>
      </c>
      <c r="B611" s="4">
        <v>18.149999999999999</v>
      </c>
      <c r="C611" s="4">
        <f t="shared" si="53"/>
        <v>10.33</v>
      </c>
      <c r="D611" s="4">
        <f t="shared" si="54"/>
        <v>263.68</v>
      </c>
    </row>
    <row r="612" spans="1:4" x14ac:dyDescent="0.3">
      <c r="A612" s="4">
        <v>16.899999999999999</v>
      </c>
      <c r="B612" s="4">
        <v>17.7</v>
      </c>
      <c r="C612" s="4">
        <f t="shared" si="53"/>
        <v>4.7300000000000004</v>
      </c>
      <c r="D612" s="4">
        <f t="shared" si="54"/>
        <v>276.14999999999998</v>
      </c>
    </row>
    <row r="613" spans="1:4" x14ac:dyDescent="0.3">
      <c r="A613" s="4">
        <v>19.329999999999998</v>
      </c>
      <c r="B613" s="4">
        <v>19.5</v>
      </c>
      <c r="C613" s="4">
        <f t="shared" si="53"/>
        <v>0.88</v>
      </c>
      <c r="D613" s="4">
        <f t="shared" si="54"/>
        <v>278.58</v>
      </c>
    </row>
    <row r="614" spans="1:4" x14ac:dyDescent="0.3">
      <c r="A614" s="4">
        <v>16.66</v>
      </c>
      <c r="B614" s="4">
        <v>18.3</v>
      </c>
      <c r="C614" s="4">
        <f t="shared" si="53"/>
        <v>9.84</v>
      </c>
      <c r="D614" s="4">
        <f t="shared" si="54"/>
        <v>305.99</v>
      </c>
    </row>
    <row r="615" spans="1:4" x14ac:dyDescent="0.3">
      <c r="A615" s="4">
        <v>16.600000000000001</v>
      </c>
      <c r="B615" s="4">
        <v>18.3</v>
      </c>
      <c r="C615" s="4">
        <f t="shared" si="53"/>
        <v>10.24</v>
      </c>
      <c r="D615" s="4">
        <f t="shared" si="54"/>
        <v>337.32</v>
      </c>
    </row>
    <row r="616" spans="1:4" x14ac:dyDescent="0.3">
      <c r="A616" s="4">
        <v>18.7</v>
      </c>
      <c r="B616" s="4">
        <v>17.850000000000001</v>
      </c>
      <c r="C616" s="4">
        <f t="shared" si="53"/>
        <v>-4.55</v>
      </c>
      <c r="D616" s="4">
        <f t="shared" si="54"/>
        <v>321.97000000000003</v>
      </c>
    </row>
    <row r="617" spans="1:4" x14ac:dyDescent="0.3">
      <c r="A617" s="4">
        <v>18.100000000000001</v>
      </c>
      <c r="B617" s="4">
        <v>18.7</v>
      </c>
      <c r="C617" s="4">
        <f t="shared" si="53"/>
        <v>3.31</v>
      </c>
      <c r="D617" s="4">
        <f t="shared" si="54"/>
        <v>332.63</v>
      </c>
    </row>
    <row r="618" spans="1:4" x14ac:dyDescent="0.3">
      <c r="A618" s="4">
        <v>19.100000000000001</v>
      </c>
      <c r="B618" s="4">
        <v>18.600000000000001</v>
      </c>
      <c r="C618" s="4">
        <f t="shared" si="53"/>
        <v>-2.62</v>
      </c>
      <c r="D618" s="4">
        <f t="shared" si="54"/>
        <v>323.92</v>
      </c>
    </row>
    <row r="619" spans="1:4" x14ac:dyDescent="0.3">
      <c r="A619" s="4">
        <v>17.190000000000001</v>
      </c>
      <c r="B619" s="4">
        <v>16.5</v>
      </c>
      <c r="C619" s="4">
        <f t="shared" si="53"/>
        <v>-4.01</v>
      </c>
      <c r="D619" s="4">
        <f t="shared" si="54"/>
        <v>310.93</v>
      </c>
    </row>
    <row r="620" spans="1:4" x14ac:dyDescent="0.3">
      <c r="A620" s="4">
        <v>14.3</v>
      </c>
      <c r="B620" s="4">
        <v>14.9</v>
      </c>
      <c r="C620" s="4">
        <f t="shared" si="53"/>
        <v>4.2</v>
      </c>
      <c r="D620" s="4">
        <f t="shared" si="54"/>
        <v>323.99</v>
      </c>
    </row>
    <row r="621" spans="1:4" x14ac:dyDescent="0.3">
      <c r="A621" s="4">
        <v>14.35</v>
      </c>
      <c r="B621" s="4">
        <v>14.9</v>
      </c>
      <c r="C621" s="4">
        <f t="shared" si="53"/>
        <v>3.83</v>
      </c>
      <c r="D621" s="4">
        <f t="shared" si="54"/>
        <v>336.4</v>
      </c>
    </row>
    <row r="622" spans="1:4" x14ac:dyDescent="0.3">
      <c r="A622" s="4">
        <v>14.5</v>
      </c>
      <c r="B622" s="4">
        <v>14.9</v>
      </c>
      <c r="C622" s="4">
        <f t="shared" si="53"/>
        <v>2.76</v>
      </c>
      <c r="D622" s="4">
        <f t="shared" si="54"/>
        <v>345.68</v>
      </c>
    </row>
    <row r="623" spans="1:4" x14ac:dyDescent="0.3">
      <c r="A623" s="4">
        <v>14.3</v>
      </c>
      <c r="B623" s="4">
        <v>13.96</v>
      </c>
      <c r="C623" s="4">
        <f t="shared" si="53"/>
        <v>-2.38</v>
      </c>
      <c r="D623" s="4">
        <f t="shared" si="54"/>
        <v>337.45</v>
      </c>
    </row>
    <row r="624" spans="1:4" x14ac:dyDescent="0.3">
      <c r="A624" s="4">
        <v>11.8</v>
      </c>
      <c r="B624" s="4">
        <v>11.25</v>
      </c>
      <c r="C624" s="4">
        <f t="shared" si="53"/>
        <v>-4.66</v>
      </c>
      <c r="D624" s="4">
        <f t="shared" si="54"/>
        <v>321.72000000000003</v>
      </c>
    </row>
    <row r="625" spans="1:4" x14ac:dyDescent="0.3">
      <c r="A625" s="4">
        <v>11.7</v>
      </c>
      <c r="B625" s="4">
        <v>13.3</v>
      </c>
      <c r="C625" s="4">
        <f t="shared" si="53"/>
        <v>13.68</v>
      </c>
      <c r="D625" s="4">
        <f t="shared" si="54"/>
        <v>365.73</v>
      </c>
    </row>
    <row r="626" spans="1:4" x14ac:dyDescent="0.3">
      <c r="A626" s="4">
        <v>14.6</v>
      </c>
      <c r="B626" s="4">
        <v>15.4</v>
      </c>
      <c r="C626" s="4">
        <f t="shared" si="53"/>
        <v>5.48</v>
      </c>
      <c r="D626" s="4">
        <f t="shared" si="54"/>
        <v>385.77</v>
      </c>
    </row>
    <row r="627" spans="1:4" x14ac:dyDescent="0.3">
      <c r="A627" s="4">
        <v>14.6</v>
      </c>
      <c r="B627" s="4">
        <v>14.25</v>
      </c>
      <c r="C627" s="4">
        <f t="shared" si="53"/>
        <v>-2.4</v>
      </c>
      <c r="D627" s="4">
        <f t="shared" si="54"/>
        <v>376.51</v>
      </c>
    </row>
    <row r="628" spans="1:4" x14ac:dyDescent="0.3">
      <c r="A628" s="4">
        <v>14.4</v>
      </c>
      <c r="B628" s="4">
        <v>15.4</v>
      </c>
      <c r="C628" s="4">
        <f t="shared" si="53"/>
        <v>6.94</v>
      </c>
      <c r="D628" s="4">
        <f t="shared" si="54"/>
        <v>402.64</v>
      </c>
    </row>
    <row r="629" spans="1:4" x14ac:dyDescent="0.3">
      <c r="A629" s="4">
        <v>14.75</v>
      </c>
      <c r="B629" s="4">
        <v>16.75</v>
      </c>
      <c r="C629" s="4">
        <f t="shared" si="53"/>
        <v>13.56</v>
      </c>
      <c r="D629" s="4">
        <f t="shared" si="54"/>
        <v>457.24</v>
      </c>
    </row>
    <row r="630" spans="1:4" x14ac:dyDescent="0.3">
      <c r="A630" s="4">
        <v>16</v>
      </c>
      <c r="B630" s="4">
        <v>16.75</v>
      </c>
      <c r="C630" s="4">
        <f t="shared" si="53"/>
        <v>4.6900000000000004</v>
      </c>
      <c r="D630" s="4">
        <f t="shared" si="54"/>
        <v>478.68</v>
      </c>
    </row>
    <row r="632" spans="1:4" s="6" customFormat="1" x14ac:dyDescent="0.3">
      <c r="A632" s="5" t="s">
        <v>460</v>
      </c>
      <c r="B632" s="5">
        <v>2023</v>
      </c>
      <c r="C632" s="5"/>
      <c r="D632" s="5">
        <v>200</v>
      </c>
    </row>
    <row r="633" spans="1:4" x14ac:dyDescent="0.3">
      <c r="A633" s="4">
        <v>11.5</v>
      </c>
      <c r="B633" s="4">
        <v>11.2</v>
      </c>
      <c r="C633" s="4">
        <f t="shared" ref="C633:C662" si="55">ROUND((B633 - A633) / A633 * 100, 2)</f>
        <v>-2.61</v>
      </c>
      <c r="D633" s="4">
        <f t="shared" ref="D633:D662" si="56">ROUND(D632 * (1 + C633 / 100), 2)</f>
        <v>194.78</v>
      </c>
    </row>
    <row r="634" spans="1:4" x14ac:dyDescent="0.3">
      <c r="A634" s="4">
        <v>11.8</v>
      </c>
      <c r="C634" s="4">
        <v>-5</v>
      </c>
      <c r="D634" s="4">
        <f t="shared" si="56"/>
        <v>185.04</v>
      </c>
    </row>
    <row r="635" spans="1:4" x14ac:dyDescent="0.3">
      <c r="A635" s="4">
        <v>10.6</v>
      </c>
      <c r="B635" s="4">
        <v>12.7</v>
      </c>
      <c r="C635" s="4">
        <f t="shared" si="55"/>
        <v>19.809999999999999</v>
      </c>
      <c r="D635" s="4">
        <f t="shared" si="56"/>
        <v>221.7</v>
      </c>
    </row>
    <row r="636" spans="1:4" x14ac:dyDescent="0.3">
      <c r="A636" s="4">
        <v>13.5</v>
      </c>
      <c r="B636" s="4">
        <v>14.2</v>
      </c>
      <c r="C636" s="4">
        <f t="shared" si="55"/>
        <v>5.19</v>
      </c>
      <c r="D636" s="4">
        <f t="shared" si="56"/>
        <v>233.21</v>
      </c>
    </row>
    <row r="637" spans="1:4" x14ac:dyDescent="0.3">
      <c r="A637" s="4">
        <v>13.8</v>
      </c>
      <c r="B637" s="4">
        <v>15.7</v>
      </c>
      <c r="C637" s="4">
        <f t="shared" si="55"/>
        <v>13.77</v>
      </c>
      <c r="D637" s="4">
        <f t="shared" si="56"/>
        <v>265.32</v>
      </c>
    </row>
    <row r="638" spans="1:4" x14ac:dyDescent="0.3">
      <c r="A638" s="4">
        <v>16.25</v>
      </c>
      <c r="B638" s="4">
        <v>16.600000000000001</v>
      </c>
      <c r="C638" s="4">
        <f t="shared" si="55"/>
        <v>2.15</v>
      </c>
      <c r="D638" s="4">
        <f t="shared" si="56"/>
        <v>271.02</v>
      </c>
    </row>
    <row r="639" spans="1:4" x14ac:dyDescent="0.3">
      <c r="A639" s="4">
        <v>17.3</v>
      </c>
      <c r="B639" s="4">
        <v>16.8</v>
      </c>
      <c r="C639" s="4">
        <f t="shared" si="55"/>
        <v>-2.89</v>
      </c>
      <c r="D639" s="4">
        <f t="shared" si="56"/>
        <v>263.19</v>
      </c>
    </row>
    <row r="640" spans="1:4" x14ac:dyDescent="0.3">
      <c r="A640" s="4">
        <v>17.399999999999999</v>
      </c>
      <c r="B640" s="4">
        <v>16.7</v>
      </c>
      <c r="C640" s="4">
        <f t="shared" si="55"/>
        <v>-4.0199999999999996</v>
      </c>
      <c r="D640" s="4">
        <f t="shared" si="56"/>
        <v>252.61</v>
      </c>
    </row>
    <row r="641" spans="1:4" x14ac:dyDescent="0.3">
      <c r="A641" s="4">
        <v>17.149999999999999</v>
      </c>
      <c r="B641" s="4">
        <v>16.8</v>
      </c>
      <c r="C641" s="4">
        <f t="shared" si="55"/>
        <v>-2.04</v>
      </c>
      <c r="D641" s="4">
        <f t="shared" si="56"/>
        <v>247.46</v>
      </c>
    </row>
    <row r="642" spans="1:4" x14ac:dyDescent="0.3">
      <c r="A642" s="4">
        <v>17.3</v>
      </c>
      <c r="B642" s="4">
        <v>16.350000000000001</v>
      </c>
      <c r="C642" s="4">
        <f t="shared" si="55"/>
        <v>-5.49</v>
      </c>
      <c r="D642" s="4">
        <f t="shared" si="56"/>
        <v>233.87</v>
      </c>
    </row>
    <row r="643" spans="1:4" x14ac:dyDescent="0.3">
      <c r="A643" s="4">
        <v>16.399999999999999</v>
      </c>
      <c r="B643" s="4">
        <v>16.100000000000001</v>
      </c>
      <c r="C643" s="4">
        <f t="shared" si="55"/>
        <v>-1.83</v>
      </c>
      <c r="D643" s="4">
        <f t="shared" si="56"/>
        <v>229.59</v>
      </c>
    </row>
    <row r="644" spans="1:4" x14ac:dyDescent="0.3">
      <c r="A644" s="4">
        <v>16.399999999999999</v>
      </c>
      <c r="B644" s="4">
        <v>18.2</v>
      </c>
      <c r="C644" s="4">
        <f t="shared" si="55"/>
        <v>10.98</v>
      </c>
      <c r="D644" s="4">
        <f t="shared" si="56"/>
        <v>254.8</v>
      </c>
    </row>
    <row r="645" spans="1:4" x14ac:dyDescent="0.3">
      <c r="A645" s="4">
        <v>18.649999999999999</v>
      </c>
      <c r="C645" s="4">
        <v>-5</v>
      </c>
      <c r="D645" s="4">
        <f t="shared" si="56"/>
        <v>242.06</v>
      </c>
    </row>
    <row r="646" spans="1:4" x14ac:dyDescent="0.3">
      <c r="A646" s="4">
        <v>16.8</v>
      </c>
      <c r="B646" s="4">
        <v>19</v>
      </c>
      <c r="C646" s="4">
        <f t="shared" si="55"/>
        <v>13.1</v>
      </c>
      <c r="D646" s="4">
        <f t="shared" si="56"/>
        <v>273.77</v>
      </c>
    </row>
    <row r="647" spans="1:4" x14ac:dyDescent="0.3">
      <c r="A647" s="4">
        <v>18.5</v>
      </c>
      <c r="B647" s="4">
        <v>17.399999999999999</v>
      </c>
      <c r="C647" s="4">
        <v>-5</v>
      </c>
      <c r="D647" s="4">
        <f t="shared" si="56"/>
        <v>260.08</v>
      </c>
    </row>
    <row r="648" spans="1:4" x14ac:dyDescent="0.3">
      <c r="A648" s="4">
        <v>15.5</v>
      </c>
      <c r="B648" s="4">
        <v>14.6</v>
      </c>
      <c r="C648" s="4">
        <v>-5</v>
      </c>
      <c r="D648" s="4">
        <f t="shared" si="56"/>
        <v>247.08</v>
      </c>
    </row>
    <row r="649" spans="1:4" x14ac:dyDescent="0.3">
      <c r="A649" s="4">
        <v>14</v>
      </c>
      <c r="B649" s="4">
        <v>15.7</v>
      </c>
      <c r="C649" s="4">
        <f t="shared" si="55"/>
        <v>12.14</v>
      </c>
      <c r="D649" s="4">
        <f t="shared" si="56"/>
        <v>277.08</v>
      </c>
    </row>
    <row r="650" spans="1:4" x14ac:dyDescent="0.3">
      <c r="A650" s="4">
        <v>15.4</v>
      </c>
      <c r="B650" s="4">
        <v>15</v>
      </c>
      <c r="C650" s="4">
        <f t="shared" si="55"/>
        <v>-2.6</v>
      </c>
      <c r="D650" s="4">
        <f t="shared" si="56"/>
        <v>269.88</v>
      </c>
    </row>
    <row r="651" spans="1:4" x14ac:dyDescent="0.3">
      <c r="A651" s="4">
        <v>14.45</v>
      </c>
      <c r="B651" s="4">
        <v>16.2</v>
      </c>
      <c r="C651" s="4">
        <f t="shared" si="55"/>
        <v>12.11</v>
      </c>
      <c r="D651" s="4">
        <f t="shared" si="56"/>
        <v>302.56</v>
      </c>
    </row>
    <row r="652" spans="1:4" x14ac:dyDescent="0.3">
      <c r="A652" s="4">
        <v>16.75</v>
      </c>
      <c r="B652" s="4">
        <v>18.45</v>
      </c>
      <c r="C652" s="4">
        <f t="shared" si="55"/>
        <v>10.15</v>
      </c>
      <c r="D652" s="4">
        <f t="shared" si="56"/>
        <v>333.27</v>
      </c>
    </row>
    <row r="653" spans="1:4" x14ac:dyDescent="0.3">
      <c r="A653" s="4">
        <v>13</v>
      </c>
      <c r="B653" s="4">
        <v>12.4</v>
      </c>
      <c r="C653" s="4">
        <f t="shared" si="55"/>
        <v>-4.62</v>
      </c>
      <c r="D653" s="4">
        <f t="shared" si="56"/>
        <v>317.87</v>
      </c>
    </row>
    <row r="654" spans="1:4" x14ac:dyDescent="0.3">
      <c r="A654" s="4">
        <v>12.6</v>
      </c>
      <c r="B654" s="4">
        <v>12.3</v>
      </c>
      <c r="C654" s="4">
        <f t="shared" si="55"/>
        <v>-2.38</v>
      </c>
      <c r="D654" s="4">
        <f t="shared" si="56"/>
        <v>310.3</v>
      </c>
    </row>
    <row r="655" spans="1:4" x14ac:dyDescent="0.3">
      <c r="A655" s="4">
        <v>12.6</v>
      </c>
      <c r="B655" s="4">
        <v>12.4</v>
      </c>
      <c r="C655" s="4">
        <f t="shared" si="55"/>
        <v>-1.59</v>
      </c>
      <c r="D655" s="4">
        <f t="shared" si="56"/>
        <v>305.37</v>
      </c>
    </row>
    <row r="656" spans="1:4" x14ac:dyDescent="0.3">
      <c r="A656" s="4">
        <v>11.75</v>
      </c>
      <c r="B656" s="4">
        <v>11.8</v>
      </c>
      <c r="C656" s="4">
        <f t="shared" si="55"/>
        <v>0.43</v>
      </c>
      <c r="D656" s="4">
        <f t="shared" si="56"/>
        <v>306.68</v>
      </c>
    </row>
    <row r="657" spans="1:4" x14ac:dyDescent="0.3">
      <c r="A657" s="4">
        <v>11.5</v>
      </c>
      <c r="B657" s="4">
        <v>17.75</v>
      </c>
      <c r="C657" s="4">
        <f t="shared" si="55"/>
        <v>54.35</v>
      </c>
      <c r="D657" s="4">
        <f t="shared" si="56"/>
        <v>473.36</v>
      </c>
    </row>
    <row r="658" spans="1:4" x14ac:dyDescent="0.3">
      <c r="A658" s="4">
        <v>19</v>
      </c>
      <c r="B658" s="4">
        <v>20.6</v>
      </c>
      <c r="C658" s="4">
        <f t="shared" si="55"/>
        <v>8.42</v>
      </c>
      <c r="D658" s="4">
        <f t="shared" si="56"/>
        <v>513.22</v>
      </c>
    </row>
    <row r="659" spans="1:4" x14ac:dyDescent="0.3">
      <c r="A659" s="4">
        <v>20.55</v>
      </c>
      <c r="B659" s="4">
        <v>20.399999999999999</v>
      </c>
      <c r="C659" s="4">
        <f t="shared" si="55"/>
        <v>-0.73</v>
      </c>
      <c r="D659" s="4">
        <f t="shared" si="56"/>
        <v>509.47</v>
      </c>
    </row>
    <row r="660" spans="1:4" x14ac:dyDescent="0.3">
      <c r="A660" s="4">
        <v>20.9</v>
      </c>
      <c r="C660" s="4">
        <v>-5</v>
      </c>
      <c r="D660" s="4">
        <f t="shared" si="56"/>
        <v>484</v>
      </c>
    </row>
    <row r="661" spans="1:4" x14ac:dyDescent="0.3">
      <c r="A661" s="4">
        <v>17.600000000000001</v>
      </c>
      <c r="B661" s="4">
        <v>19.3</v>
      </c>
      <c r="C661" s="4">
        <f t="shared" si="55"/>
        <v>9.66</v>
      </c>
      <c r="D661" s="4">
        <f t="shared" si="56"/>
        <v>530.75</v>
      </c>
    </row>
    <row r="662" spans="1:4" x14ac:dyDescent="0.3">
      <c r="A662" s="4">
        <v>18.2</v>
      </c>
      <c r="B662" s="4">
        <v>17.899999999999999</v>
      </c>
      <c r="C662" s="4">
        <f t="shared" si="55"/>
        <v>-1.65</v>
      </c>
      <c r="D662" s="4">
        <f t="shared" si="56"/>
        <v>521.99</v>
      </c>
    </row>
    <row r="663" spans="1:4" x14ac:dyDescent="0.3">
      <c r="A663" s="4">
        <v>18.600000000000001</v>
      </c>
    </row>
    <row r="665" spans="1:4" s="6" customFormat="1" x14ac:dyDescent="0.3">
      <c r="A665" s="5" t="s">
        <v>463</v>
      </c>
      <c r="B665" s="5">
        <v>2023</v>
      </c>
      <c r="C665" s="5"/>
      <c r="D665" s="5">
        <v>200</v>
      </c>
    </row>
    <row r="666" spans="1:4" x14ac:dyDescent="0.3">
      <c r="A666" s="4">
        <v>31.4</v>
      </c>
      <c r="B666" s="4">
        <v>33.75</v>
      </c>
      <c r="C666" s="4">
        <f t="shared" ref="C666:C688" si="57">ROUND((B666 - A666) / A666 * 100, 2)</f>
        <v>7.48</v>
      </c>
      <c r="D666" s="4">
        <f t="shared" ref="D666:D688" si="58">ROUND(D665 * (1 + C666 / 100), 2)</f>
        <v>214.96</v>
      </c>
    </row>
    <row r="667" spans="1:4" x14ac:dyDescent="0.3">
      <c r="A667" s="4">
        <v>34.4</v>
      </c>
      <c r="B667" s="4">
        <v>32.4</v>
      </c>
      <c r="C667" s="4">
        <f t="shared" si="57"/>
        <v>-5.81</v>
      </c>
      <c r="D667" s="4">
        <f t="shared" si="58"/>
        <v>202.47</v>
      </c>
    </row>
    <row r="668" spans="1:4" x14ac:dyDescent="0.3">
      <c r="A668" s="4">
        <v>32.9</v>
      </c>
      <c r="B668" s="4">
        <v>34.6</v>
      </c>
      <c r="C668" s="4">
        <f t="shared" si="57"/>
        <v>5.17</v>
      </c>
      <c r="D668" s="4">
        <f t="shared" si="58"/>
        <v>212.94</v>
      </c>
    </row>
    <row r="669" spans="1:4" x14ac:dyDescent="0.3">
      <c r="A669" s="4">
        <v>34</v>
      </c>
      <c r="B669" s="4">
        <v>33.200000000000003</v>
      </c>
      <c r="C669" s="4">
        <f t="shared" si="57"/>
        <v>-2.35</v>
      </c>
      <c r="D669" s="4">
        <f t="shared" si="58"/>
        <v>207.94</v>
      </c>
    </row>
    <row r="670" spans="1:4" x14ac:dyDescent="0.3">
      <c r="A670" s="4">
        <v>32.799999999999997</v>
      </c>
      <c r="B670" s="4">
        <v>33.700000000000003</v>
      </c>
      <c r="C670" s="4">
        <f t="shared" si="57"/>
        <v>2.74</v>
      </c>
      <c r="D670" s="4">
        <f t="shared" si="58"/>
        <v>213.64</v>
      </c>
    </row>
    <row r="671" spans="1:4" x14ac:dyDescent="0.3">
      <c r="A671" s="4">
        <v>32.799999999999997</v>
      </c>
      <c r="B671" s="4">
        <v>31.8</v>
      </c>
      <c r="C671" s="4">
        <f t="shared" si="57"/>
        <v>-3.05</v>
      </c>
      <c r="D671" s="4">
        <f t="shared" si="58"/>
        <v>207.12</v>
      </c>
    </row>
    <row r="672" spans="1:4" x14ac:dyDescent="0.3">
      <c r="A672" s="4">
        <v>32.5</v>
      </c>
      <c r="B672" s="4">
        <v>32.17</v>
      </c>
      <c r="C672" s="4">
        <f t="shared" si="57"/>
        <v>-1.02</v>
      </c>
      <c r="D672" s="4">
        <f t="shared" si="58"/>
        <v>205.01</v>
      </c>
    </row>
    <row r="673" spans="1:4" x14ac:dyDescent="0.3">
      <c r="A673" s="4">
        <v>32.5</v>
      </c>
      <c r="B673" s="4">
        <v>33.6</v>
      </c>
      <c r="C673" s="4">
        <f t="shared" si="57"/>
        <v>3.38</v>
      </c>
      <c r="D673" s="4">
        <f t="shared" si="58"/>
        <v>211.94</v>
      </c>
    </row>
    <row r="674" spans="1:4" x14ac:dyDescent="0.3">
      <c r="A674" s="4">
        <v>32.65</v>
      </c>
      <c r="B674" s="4">
        <v>33.6</v>
      </c>
      <c r="C674" s="4">
        <f t="shared" si="57"/>
        <v>2.91</v>
      </c>
      <c r="D674" s="4">
        <f t="shared" si="58"/>
        <v>218.11</v>
      </c>
    </row>
    <row r="675" spans="1:4" x14ac:dyDescent="0.3">
      <c r="A675" s="4">
        <v>34.200000000000003</v>
      </c>
      <c r="B675" s="4">
        <v>35.200000000000003</v>
      </c>
      <c r="C675" s="4">
        <f t="shared" si="57"/>
        <v>2.92</v>
      </c>
      <c r="D675" s="4">
        <f t="shared" si="58"/>
        <v>224.48</v>
      </c>
    </row>
    <row r="676" spans="1:4" x14ac:dyDescent="0.3">
      <c r="A676" s="4">
        <v>34.450000000000003</v>
      </c>
      <c r="B676" s="4">
        <v>33.159999999999997</v>
      </c>
      <c r="C676" s="4">
        <f t="shared" si="57"/>
        <v>-3.74</v>
      </c>
      <c r="D676" s="4">
        <f t="shared" si="58"/>
        <v>216.08</v>
      </c>
    </row>
    <row r="677" spans="1:4" x14ac:dyDescent="0.3">
      <c r="A677" s="4">
        <v>30.8</v>
      </c>
      <c r="B677" s="4">
        <v>29.4</v>
      </c>
      <c r="C677" s="4">
        <f t="shared" si="57"/>
        <v>-4.55</v>
      </c>
      <c r="D677" s="4">
        <f t="shared" si="58"/>
        <v>206.25</v>
      </c>
    </row>
    <row r="678" spans="1:4" x14ac:dyDescent="0.3">
      <c r="A678" s="4">
        <v>30.5</v>
      </c>
      <c r="B678" s="4">
        <v>32.5</v>
      </c>
      <c r="C678" s="4">
        <f t="shared" si="57"/>
        <v>6.56</v>
      </c>
      <c r="D678" s="4">
        <f t="shared" si="58"/>
        <v>219.78</v>
      </c>
    </row>
    <row r="679" spans="1:4" x14ac:dyDescent="0.3">
      <c r="A679" s="4">
        <v>31</v>
      </c>
      <c r="B679" s="4">
        <v>32.5</v>
      </c>
      <c r="C679" s="4">
        <f t="shared" si="57"/>
        <v>4.84</v>
      </c>
      <c r="D679" s="4">
        <f t="shared" si="58"/>
        <v>230.42</v>
      </c>
    </row>
    <row r="680" spans="1:4" x14ac:dyDescent="0.3">
      <c r="A680" s="4">
        <v>33</v>
      </c>
      <c r="B680" s="4">
        <v>34.5</v>
      </c>
      <c r="C680" s="4">
        <f t="shared" si="57"/>
        <v>4.55</v>
      </c>
      <c r="D680" s="4">
        <f t="shared" si="58"/>
        <v>240.9</v>
      </c>
    </row>
    <row r="681" spans="1:4" x14ac:dyDescent="0.3">
      <c r="A681" s="4">
        <v>36.5</v>
      </c>
      <c r="B681" s="4">
        <v>38.770000000000003</v>
      </c>
      <c r="C681" s="4">
        <f t="shared" si="57"/>
        <v>6.22</v>
      </c>
      <c r="D681" s="4">
        <f t="shared" si="58"/>
        <v>255.88</v>
      </c>
    </row>
    <row r="682" spans="1:4" x14ac:dyDescent="0.3">
      <c r="A682" s="4">
        <v>39.799999999999997</v>
      </c>
      <c r="B682" s="4">
        <v>40.9</v>
      </c>
      <c r="C682" s="4">
        <f t="shared" si="57"/>
        <v>2.76</v>
      </c>
      <c r="D682" s="4">
        <f t="shared" si="58"/>
        <v>262.94</v>
      </c>
    </row>
    <row r="683" spans="1:4" x14ac:dyDescent="0.3">
      <c r="A683" s="4">
        <v>42</v>
      </c>
      <c r="B683" s="4">
        <v>43</v>
      </c>
      <c r="C683" s="4">
        <f t="shared" si="57"/>
        <v>2.38</v>
      </c>
      <c r="D683" s="4">
        <f t="shared" si="58"/>
        <v>269.2</v>
      </c>
    </row>
    <row r="684" spans="1:4" x14ac:dyDescent="0.3">
      <c r="A684" s="4">
        <v>39</v>
      </c>
      <c r="B684" s="4">
        <v>39.9</v>
      </c>
      <c r="C684" s="4">
        <f t="shared" si="57"/>
        <v>2.31</v>
      </c>
      <c r="D684" s="4">
        <f t="shared" si="58"/>
        <v>275.42</v>
      </c>
    </row>
    <row r="685" spans="1:4" x14ac:dyDescent="0.3">
      <c r="A685" s="4">
        <v>40.799999999999997</v>
      </c>
      <c r="B685" s="4">
        <v>42</v>
      </c>
      <c r="C685" s="4">
        <f t="shared" si="57"/>
        <v>2.94</v>
      </c>
      <c r="D685" s="4">
        <f t="shared" si="58"/>
        <v>283.52</v>
      </c>
    </row>
    <row r="686" spans="1:4" x14ac:dyDescent="0.3">
      <c r="A686" s="4">
        <v>38.4</v>
      </c>
      <c r="B686" s="4">
        <v>39.6</v>
      </c>
      <c r="C686" s="4">
        <f t="shared" si="57"/>
        <v>3.13</v>
      </c>
      <c r="D686" s="4">
        <f t="shared" si="58"/>
        <v>292.39</v>
      </c>
    </row>
    <row r="687" spans="1:4" x14ac:dyDescent="0.3">
      <c r="A687" s="4">
        <v>39.950000000000003</v>
      </c>
      <c r="B687" s="4">
        <v>41.8</v>
      </c>
      <c r="C687" s="4">
        <f t="shared" si="57"/>
        <v>4.63</v>
      </c>
      <c r="D687" s="4">
        <f t="shared" si="58"/>
        <v>305.93</v>
      </c>
    </row>
    <row r="688" spans="1:4" x14ac:dyDescent="0.3">
      <c r="A688" s="4">
        <v>35.4</v>
      </c>
      <c r="B688" s="4">
        <v>35.9</v>
      </c>
      <c r="C688" s="4">
        <f t="shared" si="57"/>
        <v>1.41</v>
      </c>
      <c r="D688" s="4">
        <f t="shared" si="58"/>
        <v>310.24</v>
      </c>
    </row>
    <row r="689" spans="1:4" x14ac:dyDescent="0.3">
      <c r="A689" s="4">
        <v>35.9</v>
      </c>
    </row>
    <row r="693" spans="1:4" x14ac:dyDescent="0.3">
      <c r="A693" s="4">
        <v>19.899999999999999</v>
      </c>
      <c r="B693" s="4">
        <v>19.170000000000002</v>
      </c>
      <c r="C693" s="4">
        <f t="shared" ref="C693:C722" si="59">ROUND((B693 - A693) / A693 * 100, 2)</f>
        <v>-3.67</v>
      </c>
      <c r="D693" s="4">
        <f>ROUND(D774 * (1 + C693 / 100), 2)</f>
        <v>192.66</v>
      </c>
    </row>
    <row r="694" spans="1:4" x14ac:dyDescent="0.3">
      <c r="A694" s="4">
        <v>19.8</v>
      </c>
      <c r="B694" s="4">
        <v>20.6</v>
      </c>
      <c r="C694" s="4">
        <f t="shared" si="59"/>
        <v>4.04</v>
      </c>
      <c r="D694" s="4">
        <f t="shared" ref="D694:D722" si="60">ROUND(D693 * (1 + C694 / 100), 2)</f>
        <v>200.44</v>
      </c>
    </row>
    <row r="695" spans="1:4" x14ac:dyDescent="0.3">
      <c r="A695" s="4">
        <v>21.6</v>
      </c>
      <c r="B695" s="4">
        <v>21</v>
      </c>
      <c r="C695" s="4">
        <f t="shared" si="59"/>
        <v>-2.78</v>
      </c>
      <c r="D695" s="4">
        <f t="shared" si="60"/>
        <v>194.87</v>
      </c>
    </row>
    <row r="696" spans="1:4" x14ac:dyDescent="0.3">
      <c r="A696" s="4">
        <v>19.46</v>
      </c>
      <c r="B696" s="4">
        <v>22.8</v>
      </c>
      <c r="C696" s="4">
        <f t="shared" si="59"/>
        <v>17.16</v>
      </c>
      <c r="D696" s="4">
        <f t="shared" si="60"/>
        <v>228.31</v>
      </c>
    </row>
    <row r="697" spans="1:4" x14ac:dyDescent="0.3">
      <c r="A697" s="4">
        <v>24</v>
      </c>
      <c r="B697" s="4">
        <v>22.59</v>
      </c>
      <c r="C697" s="4">
        <v>-5</v>
      </c>
      <c r="D697" s="4">
        <f t="shared" si="60"/>
        <v>216.89</v>
      </c>
    </row>
    <row r="698" spans="1:4" x14ac:dyDescent="0.3">
      <c r="A698" s="4">
        <v>23.8</v>
      </c>
      <c r="B698" s="4">
        <v>26.35</v>
      </c>
      <c r="C698" s="4">
        <f t="shared" si="59"/>
        <v>10.71</v>
      </c>
      <c r="D698" s="4">
        <f t="shared" si="60"/>
        <v>240.12</v>
      </c>
    </row>
    <row r="699" spans="1:4" x14ac:dyDescent="0.3">
      <c r="A699" s="4">
        <v>27.08</v>
      </c>
      <c r="B699" s="4">
        <v>28.2</v>
      </c>
      <c r="C699" s="4">
        <f t="shared" si="59"/>
        <v>4.1399999999999997</v>
      </c>
      <c r="D699" s="4">
        <f t="shared" si="60"/>
        <v>250.06</v>
      </c>
    </row>
    <row r="700" spans="1:4" x14ac:dyDescent="0.3">
      <c r="A700" s="4">
        <v>28.5</v>
      </c>
      <c r="B700" s="4">
        <v>28.6</v>
      </c>
      <c r="C700" s="4">
        <f t="shared" si="59"/>
        <v>0.35</v>
      </c>
      <c r="D700" s="4">
        <f t="shared" si="60"/>
        <v>250.94</v>
      </c>
    </row>
    <row r="701" spans="1:4" x14ac:dyDescent="0.3">
      <c r="A701" s="4">
        <v>28.75</v>
      </c>
      <c r="B701" s="4">
        <v>34.450000000000003</v>
      </c>
      <c r="C701" s="4">
        <f t="shared" si="59"/>
        <v>19.829999999999998</v>
      </c>
      <c r="D701" s="4">
        <f t="shared" si="60"/>
        <v>300.7</v>
      </c>
    </row>
    <row r="702" spans="1:4" x14ac:dyDescent="0.3">
      <c r="A702" s="4">
        <v>29</v>
      </c>
      <c r="B702" s="4">
        <v>31</v>
      </c>
      <c r="C702" s="4">
        <f t="shared" si="59"/>
        <v>6.9</v>
      </c>
      <c r="D702" s="4">
        <f t="shared" si="60"/>
        <v>321.45</v>
      </c>
    </row>
    <row r="703" spans="1:4" x14ac:dyDescent="0.3">
      <c r="A703" s="4">
        <v>28.75</v>
      </c>
      <c r="B703" s="4">
        <v>31</v>
      </c>
      <c r="C703" s="4">
        <f t="shared" si="59"/>
        <v>7.83</v>
      </c>
      <c r="D703" s="4">
        <f t="shared" si="60"/>
        <v>346.62</v>
      </c>
    </row>
    <row r="704" spans="1:4" x14ac:dyDescent="0.3">
      <c r="A704" s="4">
        <v>31.5</v>
      </c>
      <c r="B704" s="4">
        <v>30.5</v>
      </c>
      <c r="C704" s="4">
        <f t="shared" si="59"/>
        <v>-3.17</v>
      </c>
      <c r="D704" s="4">
        <f t="shared" si="60"/>
        <v>335.63</v>
      </c>
    </row>
    <row r="705" spans="1:4" x14ac:dyDescent="0.3">
      <c r="A705" s="4">
        <v>31.2</v>
      </c>
      <c r="B705" s="4">
        <v>32.5</v>
      </c>
      <c r="C705" s="4">
        <f t="shared" si="59"/>
        <v>4.17</v>
      </c>
      <c r="D705" s="4">
        <f t="shared" si="60"/>
        <v>349.63</v>
      </c>
    </row>
    <row r="706" spans="1:4" x14ac:dyDescent="0.3">
      <c r="A706" s="4">
        <v>33.200000000000003</v>
      </c>
      <c r="B706" s="4">
        <v>35</v>
      </c>
      <c r="C706" s="4">
        <f t="shared" si="59"/>
        <v>5.42</v>
      </c>
      <c r="D706" s="4">
        <f t="shared" si="60"/>
        <v>368.58</v>
      </c>
    </row>
    <row r="707" spans="1:4" x14ac:dyDescent="0.3">
      <c r="A707" s="4">
        <v>33.799999999999997</v>
      </c>
      <c r="B707" s="4">
        <v>35.5</v>
      </c>
      <c r="C707" s="4">
        <f t="shared" si="59"/>
        <v>5.03</v>
      </c>
      <c r="D707" s="4">
        <f t="shared" si="60"/>
        <v>387.12</v>
      </c>
    </row>
    <row r="708" spans="1:4" x14ac:dyDescent="0.3">
      <c r="A708" s="4">
        <v>37.15</v>
      </c>
      <c r="B708" s="4">
        <v>36.69</v>
      </c>
      <c r="C708" s="4">
        <f t="shared" si="59"/>
        <v>-1.24</v>
      </c>
      <c r="D708" s="4">
        <f t="shared" si="60"/>
        <v>382.32</v>
      </c>
    </row>
    <row r="709" spans="1:4" x14ac:dyDescent="0.3">
      <c r="A709" s="4">
        <v>37.299999999999997</v>
      </c>
      <c r="B709" s="4">
        <v>37.17</v>
      </c>
      <c r="C709" s="4">
        <f t="shared" si="59"/>
        <v>-0.35</v>
      </c>
      <c r="D709" s="4">
        <f t="shared" si="60"/>
        <v>380.98</v>
      </c>
    </row>
    <row r="710" spans="1:4" x14ac:dyDescent="0.3">
      <c r="A710" s="4">
        <v>35.799999999999997</v>
      </c>
      <c r="B710" s="4">
        <v>38</v>
      </c>
      <c r="C710" s="4">
        <f t="shared" si="59"/>
        <v>6.15</v>
      </c>
      <c r="D710" s="4">
        <f t="shared" si="60"/>
        <v>404.41</v>
      </c>
    </row>
    <row r="711" spans="1:4" x14ac:dyDescent="0.3">
      <c r="A711" s="4">
        <v>37.1</v>
      </c>
      <c r="B711" s="4">
        <v>38.4</v>
      </c>
      <c r="C711" s="4">
        <f t="shared" si="59"/>
        <v>3.5</v>
      </c>
      <c r="D711" s="4">
        <f t="shared" si="60"/>
        <v>418.56</v>
      </c>
    </row>
    <row r="712" spans="1:4" x14ac:dyDescent="0.3">
      <c r="A712" s="4">
        <v>39.4</v>
      </c>
      <c r="B712" s="4">
        <v>44.35</v>
      </c>
      <c r="C712" s="4">
        <f t="shared" si="59"/>
        <v>12.56</v>
      </c>
      <c r="D712" s="4">
        <f t="shared" si="60"/>
        <v>471.13</v>
      </c>
    </row>
    <row r="713" spans="1:4" x14ac:dyDescent="0.3">
      <c r="A713" s="4">
        <v>41.6</v>
      </c>
      <c r="B713" s="4">
        <v>40.4</v>
      </c>
      <c r="C713" s="4">
        <f t="shared" si="59"/>
        <v>-2.88</v>
      </c>
      <c r="D713" s="4">
        <f t="shared" si="60"/>
        <v>457.56</v>
      </c>
    </row>
    <row r="714" spans="1:4" x14ac:dyDescent="0.3">
      <c r="A714" s="4">
        <v>40.4</v>
      </c>
      <c r="B714" s="4">
        <v>42</v>
      </c>
      <c r="C714" s="4">
        <f t="shared" si="59"/>
        <v>3.96</v>
      </c>
      <c r="D714" s="4">
        <f t="shared" si="60"/>
        <v>475.68</v>
      </c>
    </row>
    <row r="715" spans="1:4" x14ac:dyDescent="0.3">
      <c r="A715" s="4">
        <v>42.7</v>
      </c>
      <c r="B715" s="4">
        <v>45.3</v>
      </c>
      <c r="C715" s="4">
        <f t="shared" si="59"/>
        <v>6.09</v>
      </c>
      <c r="D715" s="4">
        <f t="shared" si="60"/>
        <v>504.65</v>
      </c>
    </row>
    <row r="716" spans="1:4" x14ac:dyDescent="0.3">
      <c r="A716" s="4">
        <v>47.5</v>
      </c>
      <c r="C716" s="4">
        <v>-5</v>
      </c>
      <c r="D716" s="4">
        <f t="shared" si="60"/>
        <v>479.42</v>
      </c>
    </row>
    <row r="717" spans="1:4" x14ac:dyDescent="0.3">
      <c r="A717" s="4">
        <v>45.2</v>
      </c>
      <c r="B717" s="4">
        <v>48</v>
      </c>
      <c r="C717" s="4">
        <f t="shared" si="59"/>
        <v>6.19</v>
      </c>
      <c r="D717" s="4">
        <f t="shared" si="60"/>
        <v>509.1</v>
      </c>
    </row>
    <row r="718" spans="1:4" x14ac:dyDescent="0.3">
      <c r="A718" s="4">
        <v>52.1</v>
      </c>
      <c r="B718" s="4">
        <v>49.5</v>
      </c>
      <c r="C718" s="4">
        <f t="shared" si="59"/>
        <v>-4.99</v>
      </c>
      <c r="D718" s="4">
        <f t="shared" si="60"/>
        <v>483.7</v>
      </c>
    </row>
    <row r="719" spans="1:4" x14ac:dyDescent="0.3">
      <c r="A719" s="4">
        <v>50</v>
      </c>
      <c r="B719" s="4">
        <v>52</v>
      </c>
      <c r="C719" s="4">
        <f t="shared" si="59"/>
        <v>4</v>
      </c>
      <c r="D719" s="4">
        <f t="shared" si="60"/>
        <v>503.05</v>
      </c>
    </row>
    <row r="720" spans="1:4" x14ac:dyDescent="0.3">
      <c r="A720" s="4">
        <v>52.8</v>
      </c>
      <c r="B720" s="4">
        <v>54.2</v>
      </c>
      <c r="C720" s="4">
        <f t="shared" si="59"/>
        <v>2.65</v>
      </c>
      <c r="D720" s="4">
        <f t="shared" si="60"/>
        <v>516.38</v>
      </c>
    </row>
    <row r="721" spans="1:4" x14ac:dyDescent="0.3">
      <c r="A721" s="4">
        <v>51.1</v>
      </c>
      <c r="B721" s="4">
        <v>53.55</v>
      </c>
      <c r="C721" s="4">
        <f t="shared" si="59"/>
        <v>4.79</v>
      </c>
      <c r="D721" s="4">
        <f t="shared" si="60"/>
        <v>541.11</v>
      </c>
    </row>
    <row r="722" spans="1:4" x14ac:dyDescent="0.3">
      <c r="A722" s="4">
        <v>51</v>
      </c>
      <c r="B722" s="4">
        <v>72.8</v>
      </c>
      <c r="C722" s="4">
        <f t="shared" si="59"/>
        <v>42.75</v>
      </c>
      <c r="D722" s="4">
        <f t="shared" si="60"/>
        <v>772.43</v>
      </c>
    </row>
    <row r="725" spans="1:4" x14ac:dyDescent="0.3">
      <c r="A725" s="4">
        <v>37.200000000000003</v>
      </c>
      <c r="B725" s="4">
        <v>50.2</v>
      </c>
      <c r="C725" s="4">
        <f t="shared" ref="C725:C731" si="61">ROUND((B725 - A725) / A725 * 100, 2)</f>
        <v>34.950000000000003</v>
      </c>
      <c r="D725" s="4">
        <f>ROUND(D774 * (1 + C725 / 100), 2)</f>
        <v>269.89999999999998</v>
      </c>
    </row>
    <row r="726" spans="1:4" x14ac:dyDescent="0.3">
      <c r="A726" s="4">
        <v>46.75</v>
      </c>
      <c r="B726" s="4">
        <v>45.5</v>
      </c>
      <c r="C726" s="4">
        <f t="shared" si="61"/>
        <v>-2.67</v>
      </c>
      <c r="D726" s="4">
        <f t="shared" ref="D726:D772" si="62">ROUND(D725 * (1 + C726 / 100), 2)</f>
        <v>262.69</v>
      </c>
    </row>
    <row r="727" spans="1:4" x14ac:dyDescent="0.3">
      <c r="A727" s="4">
        <v>38</v>
      </c>
      <c r="B727" s="4">
        <v>49.6</v>
      </c>
      <c r="C727" s="4">
        <f t="shared" si="61"/>
        <v>30.53</v>
      </c>
      <c r="D727" s="4">
        <f t="shared" si="62"/>
        <v>342.89</v>
      </c>
    </row>
    <row r="728" spans="1:4" x14ac:dyDescent="0.3">
      <c r="A728" s="4">
        <v>51.9</v>
      </c>
      <c r="B728" s="4">
        <v>48.6</v>
      </c>
      <c r="C728" s="4">
        <f t="shared" si="61"/>
        <v>-6.36</v>
      </c>
      <c r="D728" s="4">
        <f t="shared" si="62"/>
        <v>321.08</v>
      </c>
    </row>
    <row r="729" spans="1:4" x14ac:dyDescent="0.3">
      <c r="A729" s="4">
        <v>55.4</v>
      </c>
      <c r="B729" s="4">
        <v>49</v>
      </c>
      <c r="C729" s="4">
        <f t="shared" si="61"/>
        <v>-11.55</v>
      </c>
      <c r="D729" s="4">
        <f t="shared" si="62"/>
        <v>284</v>
      </c>
    </row>
    <row r="730" spans="1:4" x14ac:dyDescent="0.3">
      <c r="A730" s="4">
        <v>55</v>
      </c>
      <c r="B730" s="4">
        <v>54.74</v>
      </c>
      <c r="C730" s="4">
        <f t="shared" si="61"/>
        <v>-0.47</v>
      </c>
      <c r="D730" s="4">
        <f t="shared" si="62"/>
        <v>282.67</v>
      </c>
    </row>
    <row r="731" spans="1:4" x14ac:dyDescent="0.3">
      <c r="A731" s="4">
        <v>43.15</v>
      </c>
      <c r="B731" s="4">
        <v>57</v>
      </c>
      <c r="C731" s="4">
        <f t="shared" si="61"/>
        <v>32.1</v>
      </c>
      <c r="D731" s="4">
        <f t="shared" si="62"/>
        <v>373.41</v>
      </c>
    </row>
    <row r="732" spans="1:4" x14ac:dyDescent="0.3">
      <c r="A732" s="4">
        <v>60.8</v>
      </c>
      <c r="C732" s="4">
        <v>-5</v>
      </c>
      <c r="D732" s="4">
        <f t="shared" si="62"/>
        <v>354.74</v>
      </c>
    </row>
    <row r="733" spans="1:4" x14ac:dyDescent="0.3">
      <c r="A733" s="4">
        <v>58.2</v>
      </c>
      <c r="C733" s="4">
        <v>-5</v>
      </c>
      <c r="D733" s="4">
        <f t="shared" si="62"/>
        <v>337</v>
      </c>
    </row>
    <row r="734" spans="1:4" x14ac:dyDescent="0.3">
      <c r="A734" s="4">
        <v>54.5</v>
      </c>
      <c r="B734" s="4">
        <v>52.3</v>
      </c>
      <c r="C734" s="4">
        <f t="shared" ref="C734:C772" si="63">ROUND((B734 - A734) / A734 * 100, 2)</f>
        <v>-4.04</v>
      </c>
      <c r="D734" s="4">
        <f t="shared" si="62"/>
        <v>323.39</v>
      </c>
    </row>
    <row r="735" spans="1:4" x14ac:dyDescent="0.3">
      <c r="A735" s="4">
        <v>54.3</v>
      </c>
      <c r="B735" s="4">
        <v>55.25</v>
      </c>
      <c r="C735" s="4">
        <f t="shared" si="63"/>
        <v>1.75</v>
      </c>
      <c r="D735" s="4">
        <f t="shared" si="62"/>
        <v>329.05</v>
      </c>
    </row>
    <row r="736" spans="1:4" x14ac:dyDescent="0.3">
      <c r="A736" s="4">
        <v>43.2</v>
      </c>
      <c r="B736" s="4">
        <v>45</v>
      </c>
      <c r="C736" s="4">
        <f t="shared" si="63"/>
        <v>4.17</v>
      </c>
      <c r="D736" s="4">
        <f t="shared" si="62"/>
        <v>342.77</v>
      </c>
    </row>
    <row r="737" spans="1:4" x14ac:dyDescent="0.3">
      <c r="A737" s="4">
        <v>44.6</v>
      </c>
      <c r="B737" s="4">
        <v>48.4</v>
      </c>
      <c r="C737" s="4">
        <f t="shared" si="63"/>
        <v>8.52</v>
      </c>
      <c r="D737" s="4">
        <f t="shared" si="62"/>
        <v>371.97</v>
      </c>
    </row>
    <row r="738" spans="1:4" x14ac:dyDescent="0.3">
      <c r="A738" s="4">
        <v>49.4</v>
      </c>
      <c r="C738" s="4">
        <v>-5</v>
      </c>
      <c r="D738" s="4">
        <f t="shared" si="62"/>
        <v>353.37</v>
      </c>
    </row>
    <row r="739" spans="1:4" x14ac:dyDescent="0.3">
      <c r="A739" s="4">
        <v>48.25</v>
      </c>
      <c r="B739" s="4">
        <v>50.4</v>
      </c>
      <c r="C739" s="4">
        <f t="shared" si="63"/>
        <v>4.46</v>
      </c>
      <c r="D739" s="4">
        <f t="shared" si="62"/>
        <v>369.13</v>
      </c>
    </row>
    <row r="740" spans="1:4" x14ac:dyDescent="0.3">
      <c r="A740" s="4">
        <v>51.5</v>
      </c>
      <c r="B740" s="4">
        <v>53</v>
      </c>
      <c r="C740" s="4">
        <f t="shared" si="63"/>
        <v>2.91</v>
      </c>
      <c r="D740" s="4">
        <f t="shared" si="62"/>
        <v>379.87</v>
      </c>
    </row>
    <row r="741" spans="1:4" x14ac:dyDescent="0.3">
      <c r="A741" s="4">
        <v>54</v>
      </c>
      <c r="B741" s="4">
        <v>56.6</v>
      </c>
      <c r="C741" s="4">
        <f t="shared" si="63"/>
        <v>4.8099999999999996</v>
      </c>
      <c r="D741" s="4">
        <f t="shared" si="62"/>
        <v>398.14</v>
      </c>
    </row>
    <row r="742" spans="1:4" x14ac:dyDescent="0.3">
      <c r="A742" s="4">
        <v>57.2</v>
      </c>
      <c r="B742" s="4">
        <v>75.5</v>
      </c>
      <c r="C742" s="4">
        <f t="shared" si="63"/>
        <v>31.99</v>
      </c>
      <c r="D742" s="4">
        <f t="shared" si="62"/>
        <v>525.5</v>
      </c>
    </row>
    <row r="743" spans="1:4" x14ac:dyDescent="0.3">
      <c r="A743" s="4">
        <v>78.3</v>
      </c>
      <c r="B743" s="4">
        <v>74.150000000000006</v>
      </c>
      <c r="C743" s="4">
        <f t="shared" si="63"/>
        <v>-5.3</v>
      </c>
      <c r="D743" s="4">
        <f t="shared" si="62"/>
        <v>497.65</v>
      </c>
    </row>
    <row r="744" spans="1:4" x14ac:dyDescent="0.3">
      <c r="A744" s="4">
        <v>73.8</v>
      </c>
      <c r="B744" s="4">
        <v>71.5</v>
      </c>
      <c r="C744" s="4">
        <f t="shared" si="63"/>
        <v>-3.12</v>
      </c>
      <c r="D744" s="4">
        <f t="shared" si="62"/>
        <v>482.12</v>
      </c>
    </row>
    <row r="745" spans="1:4" x14ac:dyDescent="0.3">
      <c r="A745" s="4">
        <v>67.25</v>
      </c>
      <c r="B745" s="4">
        <v>73.5</v>
      </c>
      <c r="C745" s="4">
        <f t="shared" si="63"/>
        <v>9.2899999999999991</v>
      </c>
      <c r="D745" s="4">
        <f t="shared" si="62"/>
        <v>526.91</v>
      </c>
    </row>
    <row r="746" spans="1:4" x14ac:dyDescent="0.3">
      <c r="A746" s="4">
        <v>74.8</v>
      </c>
      <c r="B746" s="4">
        <v>65.5</v>
      </c>
      <c r="C746" s="4">
        <f t="shared" si="63"/>
        <v>-12.43</v>
      </c>
      <c r="D746" s="4">
        <f t="shared" si="62"/>
        <v>461.42</v>
      </c>
    </row>
    <row r="747" spans="1:4" x14ac:dyDescent="0.3">
      <c r="A747" s="4">
        <v>37.6</v>
      </c>
      <c r="B747" s="4">
        <v>38.6</v>
      </c>
      <c r="C747" s="4">
        <f t="shared" si="63"/>
        <v>2.66</v>
      </c>
      <c r="D747" s="4">
        <f t="shared" si="62"/>
        <v>473.69</v>
      </c>
    </row>
    <row r="748" spans="1:4" x14ac:dyDescent="0.3">
      <c r="A748" s="4">
        <v>41.3</v>
      </c>
      <c r="B748" s="4">
        <v>41.2</v>
      </c>
      <c r="C748" s="4">
        <f t="shared" si="63"/>
        <v>-0.24</v>
      </c>
      <c r="D748" s="4">
        <f t="shared" si="62"/>
        <v>472.55</v>
      </c>
    </row>
    <row r="749" spans="1:4" x14ac:dyDescent="0.3">
      <c r="A749" s="4">
        <v>43.6</v>
      </c>
      <c r="B749" s="4">
        <v>49.5</v>
      </c>
      <c r="C749" s="4">
        <f t="shared" si="63"/>
        <v>13.53</v>
      </c>
      <c r="D749" s="4">
        <f t="shared" si="62"/>
        <v>536.49</v>
      </c>
    </row>
    <row r="750" spans="1:4" x14ac:dyDescent="0.3">
      <c r="A750" s="4">
        <v>52.4</v>
      </c>
      <c r="B750" s="4">
        <v>49.9</v>
      </c>
      <c r="C750" s="4">
        <f t="shared" si="63"/>
        <v>-4.7699999999999996</v>
      </c>
      <c r="D750" s="4">
        <f t="shared" si="62"/>
        <v>510.9</v>
      </c>
    </row>
    <row r="751" spans="1:4" x14ac:dyDescent="0.3">
      <c r="A751" s="4">
        <v>25.85</v>
      </c>
      <c r="B751" s="4">
        <v>24.75</v>
      </c>
      <c r="C751" s="4">
        <f t="shared" si="63"/>
        <v>-4.26</v>
      </c>
      <c r="D751" s="4">
        <f t="shared" si="62"/>
        <v>489.14</v>
      </c>
    </row>
    <row r="752" spans="1:4" x14ac:dyDescent="0.3">
      <c r="A752" s="4">
        <v>26.5</v>
      </c>
      <c r="B752" s="4">
        <v>53.79</v>
      </c>
      <c r="C752" s="4">
        <f t="shared" si="63"/>
        <v>102.98</v>
      </c>
      <c r="D752" s="4">
        <f t="shared" si="62"/>
        <v>992.86</v>
      </c>
    </row>
    <row r="753" spans="1:4" x14ac:dyDescent="0.3">
      <c r="A753" s="4">
        <v>48.2</v>
      </c>
      <c r="B753" s="4">
        <v>46.85</v>
      </c>
      <c r="C753" s="4">
        <f t="shared" si="63"/>
        <v>-2.8</v>
      </c>
      <c r="D753" s="4">
        <f t="shared" si="62"/>
        <v>965.06</v>
      </c>
    </row>
    <row r="754" spans="1:4" x14ac:dyDescent="0.3">
      <c r="A754" s="4">
        <v>49.8</v>
      </c>
      <c r="B754" s="4">
        <v>48.4</v>
      </c>
      <c r="C754" s="4">
        <f t="shared" si="63"/>
        <v>-2.81</v>
      </c>
      <c r="D754" s="4">
        <f t="shared" si="62"/>
        <v>937.94</v>
      </c>
    </row>
    <row r="755" spans="1:4" x14ac:dyDescent="0.3">
      <c r="A755" s="4">
        <v>50.2</v>
      </c>
      <c r="B755" s="4">
        <v>49.55</v>
      </c>
      <c r="C755" s="4">
        <f t="shared" si="63"/>
        <v>-1.29</v>
      </c>
      <c r="D755" s="4">
        <f t="shared" si="62"/>
        <v>925.84</v>
      </c>
    </row>
    <row r="756" spans="1:4" x14ac:dyDescent="0.3">
      <c r="A756" s="4">
        <v>51.6</v>
      </c>
      <c r="B756" s="4">
        <v>58</v>
      </c>
      <c r="C756" s="4">
        <f t="shared" si="63"/>
        <v>12.4</v>
      </c>
      <c r="D756" s="4">
        <f t="shared" si="62"/>
        <v>1040.6400000000001</v>
      </c>
    </row>
    <row r="757" spans="1:4" x14ac:dyDescent="0.3">
      <c r="A757" s="4">
        <v>61.4</v>
      </c>
      <c r="B757" s="4">
        <v>61.18</v>
      </c>
      <c r="C757" s="4">
        <f t="shared" si="63"/>
        <v>-0.36</v>
      </c>
      <c r="D757" s="4">
        <f t="shared" si="62"/>
        <v>1036.8900000000001</v>
      </c>
    </row>
    <row r="758" spans="1:4" x14ac:dyDescent="0.3">
      <c r="A758" s="4">
        <v>62.85</v>
      </c>
      <c r="B758" s="4">
        <v>66.8</v>
      </c>
      <c r="C758" s="4">
        <f t="shared" si="63"/>
        <v>6.28</v>
      </c>
      <c r="D758" s="4">
        <f t="shared" si="62"/>
        <v>1102.01</v>
      </c>
    </row>
    <row r="759" spans="1:4" x14ac:dyDescent="0.3">
      <c r="A759" s="4">
        <v>67.88</v>
      </c>
      <c r="B759" s="4">
        <v>66.2</v>
      </c>
      <c r="C759" s="4">
        <f t="shared" si="63"/>
        <v>-2.4700000000000002</v>
      </c>
      <c r="D759" s="4">
        <f t="shared" si="62"/>
        <v>1074.79</v>
      </c>
    </row>
    <row r="760" spans="1:4" x14ac:dyDescent="0.3">
      <c r="A760" s="4">
        <v>67</v>
      </c>
      <c r="B760" s="4">
        <v>64.599999999999994</v>
      </c>
      <c r="C760" s="4">
        <f t="shared" si="63"/>
        <v>-3.58</v>
      </c>
      <c r="D760" s="4">
        <f t="shared" si="62"/>
        <v>1036.31</v>
      </c>
    </row>
    <row r="761" spans="1:4" x14ac:dyDescent="0.3">
      <c r="A761" s="4">
        <v>67</v>
      </c>
      <c r="B761" s="4">
        <v>70.8</v>
      </c>
      <c r="C761" s="4">
        <f t="shared" si="63"/>
        <v>5.67</v>
      </c>
      <c r="D761" s="4">
        <f t="shared" si="62"/>
        <v>1095.07</v>
      </c>
    </row>
    <row r="762" spans="1:4" x14ac:dyDescent="0.3">
      <c r="A762" s="4">
        <v>67.099999999999994</v>
      </c>
      <c r="B762" s="4">
        <v>76</v>
      </c>
      <c r="C762" s="4">
        <f t="shared" si="63"/>
        <v>13.26</v>
      </c>
      <c r="D762" s="4">
        <f t="shared" si="62"/>
        <v>1240.28</v>
      </c>
    </row>
    <row r="763" spans="1:4" x14ac:dyDescent="0.3">
      <c r="A763" s="4">
        <v>72.5</v>
      </c>
      <c r="B763" s="4">
        <v>70.5</v>
      </c>
      <c r="C763" s="4">
        <f t="shared" si="63"/>
        <v>-2.76</v>
      </c>
      <c r="D763" s="4">
        <f t="shared" si="62"/>
        <v>1206.05</v>
      </c>
    </row>
    <row r="764" spans="1:4" x14ac:dyDescent="0.3">
      <c r="A764" s="4">
        <v>64.400000000000006</v>
      </c>
      <c r="B764" s="4">
        <v>60.8</v>
      </c>
      <c r="C764" s="4">
        <v>-5</v>
      </c>
      <c r="D764" s="4">
        <f t="shared" si="62"/>
        <v>1145.75</v>
      </c>
    </row>
    <row r="765" spans="1:4" x14ac:dyDescent="0.3">
      <c r="A765" s="4">
        <v>62.3</v>
      </c>
      <c r="B765" s="4">
        <v>65</v>
      </c>
      <c r="C765" s="4">
        <f t="shared" si="63"/>
        <v>4.33</v>
      </c>
      <c r="D765" s="4">
        <f t="shared" si="62"/>
        <v>1195.3599999999999</v>
      </c>
    </row>
    <row r="766" spans="1:4" x14ac:dyDescent="0.3">
      <c r="A766" s="4">
        <v>66.400000000000006</v>
      </c>
      <c r="B766" s="4">
        <v>69.5</v>
      </c>
      <c r="C766" s="4">
        <f t="shared" si="63"/>
        <v>4.67</v>
      </c>
      <c r="D766" s="4">
        <f t="shared" si="62"/>
        <v>1251.18</v>
      </c>
    </row>
    <row r="767" spans="1:4" x14ac:dyDescent="0.3">
      <c r="A767" s="4">
        <v>70.5</v>
      </c>
      <c r="B767" s="4">
        <v>72.3</v>
      </c>
      <c r="C767" s="4">
        <f t="shared" si="63"/>
        <v>2.5499999999999998</v>
      </c>
      <c r="D767" s="4">
        <f t="shared" si="62"/>
        <v>1283.0899999999999</v>
      </c>
    </row>
    <row r="768" spans="1:4" x14ac:dyDescent="0.3">
      <c r="A768" s="4">
        <v>76.8</v>
      </c>
      <c r="B768" s="4">
        <v>95.6</v>
      </c>
      <c r="C768" s="4">
        <f t="shared" si="63"/>
        <v>24.48</v>
      </c>
      <c r="D768" s="4">
        <f t="shared" si="62"/>
        <v>1597.19</v>
      </c>
    </row>
    <row r="769" spans="1:4" x14ac:dyDescent="0.3">
      <c r="A769" s="4">
        <v>80.53</v>
      </c>
      <c r="B769" s="4">
        <v>78.2</v>
      </c>
      <c r="C769" s="4">
        <f t="shared" si="63"/>
        <v>-2.89</v>
      </c>
      <c r="D769" s="4">
        <f t="shared" si="62"/>
        <v>1551.03</v>
      </c>
    </row>
    <row r="770" spans="1:4" x14ac:dyDescent="0.3">
      <c r="A770" s="4">
        <v>81</v>
      </c>
      <c r="B770" s="4">
        <v>79.900000000000006</v>
      </c>
      <c r="C770" s="4">
        <f t="shared" si="63"/>
        <v>-1.36</v>
      </c>
      <c r="D770" s="4">
        <f t="shared" si="62"/>
        <v>1529.94</v>
      </c>
    </row>
    <row r="771" spans="1:4" x14ac:dyDescent="0.3">
      <c r="A771" s="4">
        <v>81</v>
      </c>
      <c r="B771" s="4">
        <v>79.3</v>
      </c>
      <c r="C771" s="4">
        <f t="shared" si="63"/>
        <v>-2.1</v>
      </c>
      <c r="D771" s="4">
        <f t="shared" si="62"/>
        <v>1497.81</v>
      </c>
    </row>
    <row r="772" spans="1:4" x14ac:dyDescent="0.3">
      <c r="A772" s="4">
        <v>78</v>
      </c>
      <c r="B772" s="4">
        <v>81</v>
      </c>
      <c r="C772" s="4">
        <f t="shared" si="63"/>
        <v>3.85</v>
      </c>
      <c r="D772" s="4">
        <f t="shared" si="62"/>
        <v>1555.48</v>
      </c>
    </row>
    <row r="774" spans="1:4" s="6" customFormat="1" x14ac:dyDescent="0.3">
      <c r="A774" s="5" t="s">
        <v>770</v>
      </c>
      <c r="B774" s="5">
        <v>2021</v>
      </c>
      <c r="C774" s="5"/>
      <c r="D774" s="5">
        <v>200</v>
      </c>
    </row>
    <row r="775" spans="1:4" x14ac:dyDescent="0.3">
      <c r="A775" s="4">
        <v>13.77</v>
      </c>
      <c r="B775" s="4">
        <v>15.5</v>
      </c>
      <c r="C775" s="4">
        <f t="shared" ref="C775:C823" si="64">ROUND((B775 - A775) / A775 * 100, 2)</f>
        <v>12.56</v>
      </c>
      <c r="D775" s="4">
        <f t="shared" ref="D775:D823" si="65">ROUND(D774 * (1 + C775 / 100), 2)</f>
        <v>225.12</v>
      </c>
    </row>
    <row r="776" spans="1:4" x14ac:dyDescent="0.3">
      <c r="A776" s="4">
        <v>16</v>
      </c>
      <c r="B776" s="4">
        <v>20</v>
      </c>
      <c r="C776" s="4">
        <f t="shared" si="64"/>
        <v>25</v>
      </c>
      <c r="D776" s="4">
        <f t="shared" si="65"/>
        <v>281.39999999999998</v>
      </c>
    </row>
    <row r="777" spans="1:4" x14ac:dyDescent="0.3">
      <c r="A777" s="4">
        <v>18.25</v>
      </c>
      <c r="B777" s="4">
        <v>17.77</v>
      </c>
      <c r="C777" s="4">
        <f t="shared" si="64"/>
        <v>-2.63</v>
      </c>
      <c r="D777" s="4">
        <f t="shared" si="65"/>
        <v>274</v>
      </c>
    </row>
    <row r="778" spans="1:4" x14ac:dyDescent="0.3">
      <c r="A778" s="4">
        <v>18.8</v>
      </c>
      <c r="B778" s="4">
        <v>18.38</v>
      </c>
      <c r="C778" s="4">
        <f t="shared" si="64"/>
        <v>-2.23</v>
      </c>
      <c r="D778" s="4">
        <f t="shared" si="65"/>
        <v>267.89</v>
      </c>
    </row>
    <row r="779" spans="1:4" x14ac:dyDescent="0.3">
      <c r="A779" s="4">
        <v>17.7</v>
      </c>
      <c r="B779" s="4">
        <v>16.32</v>
      </c>
      <c r="C779" s="4">
        <v>-5</v>
      </c>
      <c r="D779" s="4">
        <f t="shared" si="65"/>
        <v>254.5</v>
      </c>
    </row>
    <row r="780" spans="1:4" x14ac:dyDescent="0.3">
      <c r="A780" s="4">
        <v>17</v>
      </c>
      <c r="B780" s="4">
        <v>19</v>
      </c>
      <c r="C780" s="4">
        <f t="shared" si="64"/>
        <v>11.76</v>
      </c>
      <c r="D780" s="4">
        <f t="shared" si="65"/>
        <v>284.43</v>
      </c>
    </row>
    <row r="781" spans="1:4" x14ac:dyDescent="0.3">
      <c r="A781" s="4">
        <v>19.55</v>
      </c>
      <c r="B781" s="4">
        <v>18.899999999999999</v>
      </c>
      <c r="C781" s="4">
        <f t="shared" si="64"/>
        <v>-3.32</v>
      </c>
      <c r="D781" s="4">
        <f t="shared" si="65"/>
        <v>274.99</v>
      </c>
    </row>
    <row r="782" spans="1:4" x14ac:dyDescent="0.3">
      <c r="A782" s="4">
        <v>18.100000000000001</v>
      </c>
      <c r="B782" s="4">
        <v>17.88</v>
      </c>
      <c r="C782" s="4">
        <f t="shared" si="64"/>
        <v>-1.22</v>
      </c>
      <c r="D782" s="4">
        <f t="shared" si="65"/>
        <v>271.64</v>
      </c>
    </row>
    <row r="783" spans="1:4" x14ac:dyDescent="0.3">
      <c r="A783" s="4">
        <v>18.45</v>
      </c>
      <c r="B783" s="4">
        <v>18</v>
      </c>
      <c r="C783" s="4">
        <f t="shared" si="64"/>
        <v>-2.44</v>
      </c>
      <c r="D783" s="4">
        <f t="shared" si="65"/>
        <v>265.01</v>
      </c>
    </row>
    <row r="784" spans="1:4" x14ac:dyDescent="0.3">
      <c r="A784" s="4">
        <v>19.100000000000001</v>
      </c>
      <c r="B784" s="4">
        <v>18.399999999999999</v>
      </c>
      <c r="C784" s="4">
        <f t="shared" si="64"/>
        <v>-3.66</v>
      </c>
      <c r="D784" s="4">
        <f t="shared" si="65"/>
        <v>255.31</v>
      </c>
    </row>
    <row r="785" spans="1:4" x14ac:dyDescent="0.3">
      <c r="A785" s="4">
        <v>18.100000000000001</v>
      </c>
      <c r="B785" s="4">
        <v>19.7</v>
      </c>
      <c r="C785" s="4">
        <f t="shared" si="64"/>
        <v>8.84</v>
      </c>
      <c r="D785" s="4">
        <f t="shared" si="65"/>
        <v>277.88</v>
      </c>
    </row>
    <row r="786" spans="1:4" x14ac:dyDescent="0.3">
      <c r="A786" s="4">
        <v>21.4</v>
      </c>
      <c r="B786" s="4">
        <v>20.8</v>
      </c>
      <c r="C786" s="4">
        <f t="shared" si="64"/>
        <v>-2.8</v>
      </c>
      <c r="D786" s="4">
        <f t="shared" si="65"/>
        <v>270.10000000000002</v>
      </c>
    </row>
    <row r="787" spans="1:4" x14ac:dyDescent="0.3">
      <c r="A787" s="4">
        <v>20.2</v>
      </c>
      <c r="B787" s="4">
        <v>22.8</v>
      </c>
      <c r="C787" s="4">
        <f t="shared" si="64"/>
        <v>12.87</v>
      </c>
      <c r="D787" s="4">
        <f t="shared" si="65"/>
        <v>304.86</v>
      </c>
    </row>
    <row r="788" spans="1:4" x14ac:dyDescent="0.3">
      <c r="A788" s="4">
        <v>23.5</v>
      </c>
      <c r="B788" s="4">
        <v>22.8</v>
      </c>
      <c r="C788" s="4">
        <f t="shared" si="64"/>
        <v>-2.98</v>
      </c>
      <c r="D788" s="4">
        <f t="shared" si="65"/>
        <v>295.77999999999997</v>
      </c>
    </row>
    <row r="789" spans="1:4" x14ac:dyDescent="0.3">
      <c r="A789" s="4">
        <v>24.6</v>
      </c>
      <c r="B789" s="4">
        <v>22.7</v>
      </c>
      <c r="C789" s="4">
        <v>-5</v>
      </c>
      <c r="D789" s="4">
        <f t="shared" si="65"/>
        <v>280.99</v>
      </c>
    </row>
    <row r="790" spans="1:4" x14ac:dyDescent="0.3">
      <c r="A790" s="4">
        <v>26</v>
      </c>
      <c r="B790" s="4">
        <v>26.3</v>
      </c>
      <c r="C790" s="4">
        <f t="shared" si="64"/>
        <v>1.1499999999999999</v>
      </c>
      <c r="D790" s="4">
        <f t="shared" si="65"/>
        <v>284.22000000000003</v>
      </c>
    </row>
    <row r="791" spans="1:4" x14ac:dyDescent="0.3">
      <c r="A791" s="4">
        <v>26.4</v>
      </c>
      <c r="B791" s="4">
        <v>29</v>
      </c>
      <c r="C791" s="4">
        <f t="shared" si="64"/>
        <v>9.85</v>
      </c>
      <c r="D791" s="4">
        <f t="shared" si="65"/>
        <v>312.22000000000003</v>
      </c>
    </row>
    <row r="792" spans="1:4" x14ac:dyDescent="0.3">
      <c r="A792" s="4">
        <v>29.9</v>
      </c>
      <c r="B792" s="4">
        <v>30.3</v>
      </c>
      <c r="C792" s="4">
        <f t="shared" si="64"/>
        <v>1.34</v>
      </c>
      <c r="D792" s="4">
        <f t="shared" si="65"/>
        <v>316.39999999999998</v>
      </c>
    </row>
    <row r="793" spans="1:4" x14ac:dyDescent="0.3">
      <c r="A793" s="4">
        <v>31.5</v>
      </c>
      <c r="B793" s="4">
        <v>30.25</v>
      </c>
      <c r="C793" s="4">
        <f t="shared" si="64"/>
        <v>-3.97</v>
      </c>
      <c r="D793" s="4">
        <f t="shared" si="65"/>
        <v>303.83999999999997</v>
      </c>
    </row>
    <row r="794" spans="1:4" x14ac:dyDescent="0.3">
      <c r="A794" s="4">
        <v>32.200000000000003</v>
      </c>
      <c r="B794" s="4">
        <v>41.9</v>
      </c>
      <c r="C794" s="4">
        <f t="shared" si="64"/>
        <v>30.12</v>
      </c>
      <c r="D794" s="4">
        <f t="shared" si="65"/>
        <v>395.36</v>
      </c>
    </row>
    <row r="795" spans="1:4" x14ac:dyDescent="0.3">
      <c r="A795" s="4">
        <v>44.2</v>
      </c>
      <c r="B795" s="4">
        <v>49</v>
      </c>
      <c r="C795" s="4">
        <f t="shared" si="64"/>
        <v>10.86</v>
      </c>
      <c r="D795" s="4">
        <f t="shared" si="65"/>
        <v>438.3</v>
      </c>
    </row>
    <row r="796" spans="1:4" x14ac:dyDescent="0.3">
      <c r="A796" s="4">
        <v>50</v>
      </c>
      <c r="B796" s="4">
        <v>51.4</v>
      </c>
      <c r="C796" s="4">
        <f t="shared" si="64"/>
        <v>2.8</v>
      </c>
      <c r="D796" s="4">
        <f t="shared" si="65"/>
        <v>450.57</v>
      </c>
    </row>
    <row r="797" spans="1:4" x14ac:dyDescent="0.3">
      <c r="A797" s="4">
        <v>34</v>
      </c>
      <c r="B797" s="4">
        <v>31.9</v>
      </c>
      <c r="C797" s="4">
        <v>-5</v>
      </c>
      <c r="D797" s="4">
        <f t="shared" si="65"/>
        <v>428.04</v>
      </c>
    </row>
    <row r="798" spans="1:4" x14ac:dyDescent="0.3">
      <c r="A798" s="4">
        <v>30</v>
      </c>
      <c r="B798" s="4">
        <v>34.200000000000003</v>
      </c>
      <c r="C798" s="4">
        <f t="shared" si="64"/>
        <v>14</v>
      </c>
      <c r="D798" s="4">
        <f t="shared" si="65"/>
        <v>487.97</v>
      </c>
    </row>
    <row r="799" spans="1:4" x14ac:dyDescent="0.3">
      <c r="A799" s="4">
        <v>15.69</v>
      </c>
      <c r="B799" s="4">
        <v>17.670000000000002</v>
      </c>
      <c r="C799" s="4">
        <f t="shared" si="64"/>
        <v>12.62</v>
      </c>
      <c r="D799" s="4">
        <f t="shared" si="65"/>
        <v>549.54999999999995</v>
      </c>
    </row>
    <row r="800" spans="1:4" x14ac:dyDescent="0.3">
      <c r="A800" s="4">
        <v>18</v>
      </c>
      <c r="B800" s="4">
        <v>18.399999999999999</v>
      </c>
      <c r="C800" s="4">
        <f t="shared" si="64"/>
        <v>2.2200000000000002</v>
      </c>
      <c r="D800" s="4">
        <f t="shared" si="65"/>
        <v>561.75</v>
      </c>
    </row>
    <row r="801" spans="1:4" x14ac:dyDescent="0.3">
      <c r="A801" s="4">
        <v>19.5</v>
      </c>
      <c r="B801" s="4">
        <v>19.100000000000001</v>
      </c>
      <c r="C801" s="4">
        <f t="shared" si="64"/>
        <v>-2.0499999999999998</v>
      </c>
      <c r="D801" s="4">
        <f t="shared" si="65"/>
        <v>550.23</v>
      </c>
    </row>
    <row r="802" spans="1:4" x14ac:dyDescent="0.3">
      <c r="A802" s="4">
        <v>19.899999999999999</v>
      </c>
      <c r="B802" s="4">
        <v>18.7</v>
      </c>
      <c r="C802" s="4">
        <v>-5</v>
      </c>
      <c r="D802" s="4">
        <f t="shared" si="65"/>
        <v>522.72</v>
      </c>
    </row>
    <row r="803" spans="1:4" x14ac:dyDescent="0.3">
      <c r="A803" s="4">
        <v>19.7</v>
      </c>
      <c r="B803" s="4">
        <v>22.8</v>
      </c>
      <c r="C803" s="4">
        <f t="shared" si="64"/>
        <v>15.74</v>
      </c>
      <c r="D803" s="4">
        <f t="shared" si="65"/>
        <v>605</v>
      </c>
    </row>
    <row r="804" spans="1:4" x14ac:dyDescent="0.3">
      <c r="A804" s="4">
        <v>23.3</v>
      </c>
      <c r="B804" s="4">
        <v>26.6</v>
      </c>
      <c r="C804" s="4">
        <f t="shared" si="64"/>
        <v>14.16</v>
      </c>
      <c r="D804" s="4">
        <f t="shared" si="65"/>
        <v>690.67</v>
      </c>
    </row>
    <row r="805" spans="1:4" x14ac:dyDescent="0.3">
      <c r="A805" s="4">
        <v>27.4</v>
      </c>
      <c r="B805" s="4">
        <v>28.1</v>
      </c>
      <c r="C805" s="4">
        <f t="shared" si="64"/>
        <v>2.5499999999999998</v>
      </c>
      <c r="D805" s="4">
        <f t="shared" si="65"/>
        <v>708.28</v>
      </c>
    </row>
    <row r="806" spans="1:4" x14ac:dyDescent="0.3">
      <c r="A806" s="4">
        <v>27.4</v>
      </c>
      <c r="B806" s="4">
        <v>26.15</v>
      </c>
      <c r="C806" s="4">
        <f t="shared" si="64"/>
        <v>-4.5599999999999996</v>
      </c>
      <c r="D806" s="4">
        <f t="shared" si="65"/>
        <v>675.98</v>
      </c>
    </row>
    <row r="807" spans="1:4" x14ac:dyDescent="0.3">
      <c r="A807" s="4">
        <v>24.6</v>
      </c>
      <c r="B807" s="4">
        <v>26.8</v>
      </c>
      <c r="C807" s="4">
        <f t="shared" si="64"/>
        <v>8.94</v>
      </c>
      <c r="D807" s="4">
        <f t="shared" si="65"/>
        <v>736.41</v>
      </c>
    </row>
    <row r="808" spans="1:4" x14ac:dyDescent="0.3">
      <c r="A808" s="4">
        <v>25.3</v>
      </c>
      <c r="B808" s="4">
        <v>27.8</v>
      </c>
      <c r="C808" s="4">
        <f t="shared" si="64"/>
        <v>9.8800000000000008</v>
      </c>
      <c r="D808" s="4">
        <f t="shared" si="65"/>
        <v>809.17</v>
      </c>
    </row>
    <row r="809" spans="1:4" x14ac:dyDescent="0.3">
      <c r="A809" s="4">
        <v>25.4</v>
      </c>
      <c r="B809" s="4">
        <v>26.3</v>
      </c>
      <c r="C809" s="4">
        <f t="shared" si="64"/>
        <v>3.54</v>
      </c>
      <c r="D809" s="4">
        <f t="shared" si="65"/>
        <v>837.81</v>
      </c>
    </row>
    <row r="810" spans="1:4" x14ac:dyDescent="0.3">
      <c r="A810" s="4">
        <v>26.5</v>
      </c>
      <c r="B810" s="4">
        <v>29.4</v>
      </c>
      <c r="C810" s="4">
        <f t="shared" si="64"/>
        <v>10.94</v>
      </c>
      <c r="D810" s="4">
        <f t="shared" si="65"/>
        <v>929.47</v>
      </c>
    </row>
    <row r="811" spans="1:4" x14ac:dyDescent="0.3">
      <c r="A811" s="4">
        <v>28.5</v>
      </c>
      <c r="B811" s="4">
        <v>27.5</v>
      </c>
      <c r="C811" s="4">
        <f t="shared" si="64"/>
        <v>-3.51</v>
      </c>
      <c r="D811" s="4">
        <f t="shared" si="65"/>
        <v>896.85</v>
      </c>
    </row>
    <row r="812" spans="1:4" x14ac:dyDescent="0.3">
      <c r="A812" s="4">
        <v>26.3</v>
      </c>
      <c r="B812" s="4">
        <v>29.35</v>
      </c>
      <c r="C812" s="4">
        <f t="shared" si="64"/>
        <v>11.6</v>
      </c>
      <c r="D812" s="4">
        <f t="shared" si="65"/>
        <v>1000.88</v>
      </c>
    </row>
    <row r="813" spans="1:4" x14ac:dyDescent="0.3">
      <c r="A813" s="4">
        <v>26.5</v>
      </c>
      <c r="B813" s="4">
        <v>27.45</v>
      </c>
      <c r="C813" s="4">
        <f t="shared" si="64"/>
        <v>3.58</v>
      </c>
      <c r="D813" s="4">
        <f t="shared" si="65"/>
        <v>1036.71</v>
      </c>
    </row>
    <row r="814" spans="1:4" x14ac:dyDescent="0.3">
      <c r="A814" s="4">
        <v>27</v>
      </c>
      <c r="B814" s="4">
        <v>26.5</v>
      </c>
      <c r="C814" s="4">
        <f t="shared" si="64"/>
        <v>-1.85</v>
      </c>
      <c r="D814" s="4">
        <f t="shared" si="65"/>
        <v>1017.53</v>
      </c>
    </row>
    <row r="815" spans="1:4" x14ac:dyDescent="0.3">
      <c r="A815" s="4">
        <v>26</v>
      </c>
      <c r="B815" s="4">
        <v>24.85</v>
      </c>
      <c r="C815" s="4">
        <f t="shared" si="64"/>
        <v>-4.42</v>
      </c>
      <c r="D815" s="4">
        <f t="shared" si="65"/>
        <v>972.56</v>
      </c>
    </row>
    <row r="816" spans="1:4" x14ac:dyDescent="0.3">
      <c r="A816" s="4">
        <v>23.6</v>
      </c>
      <c r="B816" s="4">
        <v>23</v>
      </c>
      <c r="C816" s="4">
        <f t="shared" si="64"/>
        <v>-2.54</v>
      </c>
      <c r="D816" s="4">
        <f t="shared" si="65"/>
        <v>947.86</v>
      </c>
    </row>
    <row r="817" spans="1:4" x14ac:dyDescent="0.3">
      <c r="A817" s="4">
        <v>23.4</v>
      </c>
      <c r="B817" s="4">
        <v>23.5</v>
      </c>
      <c r="C817" s="4">
        <f t="shared" si="64"/>
        <v>0.43</v>
      </c>
      <c r="D817" s="4">
        <f t="shared" si="65"/>
        <v>951.94</v>
      </c>
    </row>
    <row r="818" spans="1:4" x14ac:dyDescent="0.3">
      <c r="A818" s="4">
        <v>19.2</v>
      </c>
      <c r="B818" s="4">
        <v>24.3</v>
      </c>
      <c r="C818" s="4">
        <f t="shared" si="64"/>
        <v>26.56</v>
      </c>
      <c r="D818" s="4">
        <f t="shared" si="65"/>
        <v>1204.78</v>
      </c>
    </row>
    <row r="819" spans="1:4" x14ac:dyDescent="0.3">
      <c r="A819" s="4">
        <v>25.4</v>
      </c>
      <c r="B819" s="4">
        <v>23.2</v>
      </c>
      <c r="C819" s="4">
        <v>-5</v>
      </c>
      <c r="D819" s="4">
        <f t="shared" si="65"/>
        <v>1144.54</v>
      </c>
    </row>
    <row r="820" spans="1:4" x14ac:dyDescent="0.3">
      <c r="A820" s="4">
        <v>23.9</v>
      </c>
      <c r="B820" s="4">
        <v>23.6</v>
      </c>
      <c r="C820" s="4">
        <f t="shared" si="64"/>
        <v>-1.26</v>
      </c>
      <c r="D820" s="4">
        <f t="shared" si="65"/>
        <v>1130.1199999999999</v>
      </c>
    </row>
    <row r="821" spans="1:4" x14ac:dyDescent="0.3">
      <c r="A821" s="4">
        <v>24</v>
      </c>
      <c r="B821" s="4">
        <v>26.1</v>
      </c>
      <c r="C821" s="4">
        <f t="shared" si="64"/>
        <v>8.75</v>
      </c>
      <c r="D821" s="4">
        <f t="shared" si="65"/>
        <v>1229.01</v>
      </c>
    </row>
    <row r="822" spans="1:4" x14ac:dyDescent="0.3">
      <c r="A822" s="4">
        <v>26.5</v>
      </c>
      <c r="B822" s="4">
        <v>30.8</v>
      </c>
      <c r="C822" s="4">
        <f t="shared" si="64"/>
        <v>16.23</v>
      </c>
      <c r="D822" s="4">
        <f t="shared" si="65"/>
        <v>1428.48</v>
      </c>
    </row>
    <row r="823" spans="1:4" x14ac:dyDescent="0.3">
      <c r="A823" s="4">
        <v>34</v>
      </c>
      <c r="B823" s="4">
        <v>33.5</v>
      </c>
      <c r="C823" s="4">
        <f t="shared" si="64"/>
        <v>-1.47</v>
      </c>
      <c r="D823" s="4">
        <f t="shared" si="65"/>
        <v>1407.48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DC592-D4E4-4D13-ADCA-E681C1A017AC}">
  <dimension ref="A1:O172"/>
  <sheetViews>
    <sheetView zoomScale="85" zoomScaleNormal="85" workbookViewId="0">
      <pane ySplit="1" topLeftCell="A5" activePane="bottomLeft" state="frozen"/>
      <selection pane="bottomLeft" activeCell="A8" sqref="A8"/>
    </sheetView>
  </sheetViews>
  <sheetFormatPr defaultColWidth="8.88671875" defaultRowHeight="18" x14ac:dyDescent="0.3"/>
  <cols>
    <col min="1" max="1" width="7.5546875" style="8" customWidth="1"/>
    <col min="2" max="2" width="8.109375" style="34" customWidth="1"/>
    <col min="3" max="3" width="15" style="8" customWidth="1"/>
    <col min="4" max="4" width="14.33203125" style="34" customWidth="1"/>
    <col min="5" max="5" width="10.88671875" style="8" customWidth="1"/>
    <col min="6" max="6" width="8.6640625" style="8" customWidth="1"/>
    <col min="7" max="7" width="8.88671875" style="8" customWidth="1"/>
    <col min="8" max="8" width="68.88671875" style="3" customWidth="1"/>
    <col min="9" max="9" width="11.88671875" style="3" customWidth="1"/>
    <col min="10" max="10" width="12.33203125" style="40" customWidth="1"/>
    <col min="11" max="11" width="95" style="3" customWidth="1"/>
    <col min="12" max="12" width="79.6640625" style="8" customWidth="1"/>
    <col min="13" max="13" width="15" style="8" customWidth="1"/>
    <col min="14" max="14" width="17.44140625" style="8" customWidth="1"/>
    <col min="15" max="15" width="91.109375" style="8" bestFit="1" customWidth="1"/>
    <col min="16" max="16" width="11.109375" style="8" bestFit="1" customWidth="1"/>
    <col min="17" max="17" width="30.109375" style="8" customWidth="1"/>
    <col min="18" max="16384" width="8.88671875" style="8"/>
  </cols>
  <sheetData>
    <row r="1" spans="1:12" ht="36" x14ac:dyDescent="0.3">
      <c r="A1" s="9" t="s">
        <v>6</v>
      </c>
      <c r="B1" s="30" t="s">
        <v>487</v>
      </c>
      <c r="C1" s="9" t="s">
        <v>59</v>
      </c>
      <c r="D1" s="9" t="s">
        <v>725</v>
      </c>
      <c r="E1" s="9" t="s">
        <v>8</v>
      </c>
      <c r="F1" s="6" t="s">
        <v>42</v>
      </c>
      <c r="G1" s="9" t="s">
        <v>43</v>
      </c>
      <c r="H1" s="6" t="s">
        <v>647</v>
      </c>
      <c r="I1" s="6" t="s">
        <v>695</v>
      </c>
      <c r="J1" s="36" t="s">
        <v>696</v>
      </c>
      <c r="K1" s="6" t="s">
        <v>645</v>
      </c>
      <c r="L1" s="6" t="s">
        <v>646</v>
      </c>
    </row>
    <row r="2" spans="1:12" s="12" customFormat="1" ht="36" x14ac:dyDescent="0.3">
      <c r="A2" s="12" t="s">
        <v>1002</v>
      </c>
      <c r="B2" s="32" t="s">
        <v>867</v>
      </c>
      <c r="C2" s="16">
        <v>45839</v>
      </c>
      <c r="D2" s="32"/>
      <c r="E2" s="12">
        <v>63.86</v>
      </c>
      <c r="F2" s="12">
        <v>59.9</v>
      </c>
      <c r="G2" s="12">
        <f t="shared" ref="G2" si="0">ROUND((F2 - E2) / E2 * 100, 2)</f>
        <v>-6.2</v>
      </c>
      <c r="H2" s="13" t="s">
        <v>1003</v>
      </c>
      <c r="I2" s="13"/>
      <c r="J2" s="37" t="s">
        <v>1194</v>
      </c>
      <c r="K2" s="13" t="s">
        <v>1190</v>
      </c>
      <c r="L2" s="13" t="s">
        <v>1079</v>
      </c>
    </row>
    <row r="3" spans="1:12" s="10" customFormat="1" ht="38.25" customHeight="1" x14ac:dyDescent="0.3">
      <c r="A3" s="10" t="s">
        <v>12</v>
      </c>
      <c r="B3" s="31" t="s">
        <v>490</v>
      </c>
      <c r="C3" s="15" t="s">
        <v>1024</v>
      </c>
      <c r="D3" s="31"/>
      <c r="E3" s="10">
        <v>23.13</v>
      </c>
      <c r="F3" s="10">
        <v>26.85</v>
      </c>
      <c r="G3" s="10">
        <f t="shared" ref="G3" si="1">ROUND((F3 - E3) / E3 * 100, 2)</f>
        <v>16.079999999999998</v>
      </c>
      <c r="H3" s="7" t="s">
        <v>1025</v>
      </c>
      <c r="I3" s="7" t="s">
        <v>1191</v>
      </c>
      <c r="J3" s="38"/>
      <c r="K3" s="13" t="s">
        <v>1197</v>
      </c>
      <c r="L3" s="7" t="s">
        <v>1050</v>
      </c>
    </row>
    <row r="4" spans="1:12" s="12" customFormat="1" x14ac:dyDescent="0.3">
      <c r="A4" s="12" t="s">
        <v>420</v>
      </c>
      <c r="B4" s="32" t="s">
        <v>489</v>
      </c>
      <c r="C4" s="16">
        <v>45992</v>
      </c>
      <c r="D4" s="32"/>
      <c r="E4" s="12">
        <v>20.67</v>
      </c>
      <c r="F4" s="12">
        <v>16.8</v>
      </c>
      <c r="G4" s="12">
        <f>ROUND((F4 - E4) / E4 * 100, 2)</f>
        <v>-18.72</v>
      </c>
      <c r="H4" s="13" t="s">
        <v>1016</v>
      </c>
      <c r="I4" s="13">
        <v>19</v>
      </c>
      <c r="J4" s="37"/>
      <c r="K4" s="13" t="s">
        <v>1198</v>
      </c>
      <c r="L4" s="12" t="s">
        <v>1051</v>
      </c>
    </row>
    <row r="5" spans="1:12" s="12" customFormat="1" x14ac:dyDescent="0.3">
      <c r="A5" s="12" t="s">
        <v>736</v>
      </c>
      <c r="B5" s="32" t="s">
        <v>1102</v>
      </c>
      <c r="C5" s="12" t="s">
        <v>1094</v>
      </c>
      <c r="D5" s="32"/>
      <c r="E5" s="12">
        <v>12.707000000000001</v>
      </c>
      <c r="F5" s="12">
        <v>10.3</v>
      </c>
      <c r="G5" s="12">
        <f>ROUND((F5 - E5) / E5 * 100, 2)</f>
        <v>-18.940000000000001</v>
      </c>
      <c r="H5" s="13" t="s">
        <v>835</v>
      </c>
      <c r="I5" s="13">
        <v>12.1</v>
      </c>
      <c r="J5" s="37"/>
      <c r="K5" s="13" t="s">
        <v>1199</v>
      </c>
    </row>
    <row r="6" spans="1:12" s="10" customFormat="1" ht="36.75" customHeight="1" x14ac:dyDescent="0.3">
      <c r="A6" s="10" t="s">
        <v>22</v>
      </c>
      <c r="B6" s="31" t="s">
        <v>510</v>
      </c>
      <c r="C6" s="10" t="s">
        <v>1158</v>
      </c>
      <c r="D6" s="31"/>
      <c r="E6" s="10">
        <v>35.78</v>
      </c>
      <c r="F6" s="10">
        <v>40</v>
      </c>
      <c r="G6" s="10">
        <f>ROUND((F6 - E6) / E6 * 100, 2)</f>
        <v>11.79</v>
      </c>
      <c r="H6" s="7" t="s">
        <v>1159</v>
      </c>
      <c r="I6" s="7">
        <v>43.8</v>
      </c>
      <c r="J6" s="38" t="s">
        <v>784</v>
      </c>
      <c r="K6" s="7" t="s">
        <v>1200</v>
      </c>
    </row>
    <row r="7" spans="1:12" s="12" customFormat="1" x14ac:dyDescent="0.3">
      <c r="A7" s="12" t="s">
        <v>17</v>
      </c>
      <c r="B7" s="32" t="s">
        <v>1178</v>
      </c>
      <c r="C7" s="16">
        <v>46238</v>
      </c>
      <c r="D7" s="32"/>
      <c r="E7" s="12">
        <v>28.722999999999999</v>
      </c>
      <c r="F7" s="12">
        <v>28.7</v>
      </c>
      <c r="G7" s="12">
        <f>ROUND((F7 - E7) / E7 * 100, 2)</f>
        <v>-0.08</v>
      </c>
      <c r="H7" s="13" t="s">
        <v>1179</v>
      </c>
      <c r="I7" s="13">
        <v>32</v>
      </c>
      <c r="J7" s="37" t="s">
        <v>784</v>
      </c>
      <c r="K7" s="13" t="s">
        <v>1201</v>
      </c>
    </row>
    <row r="8" spans="1:12" s="12" customFormat="1" x14ac:dyDescent="0.3">
      <c r="A8" s="12" t="s">
        <v>1062</v>
      </c>
      <c r="B8" s="32" t="s">
        <v>930</v>
      </c>
      <c r="C8" s="16">
        <v>46269</v>
      </c>
      <c r="D8" s="32"/>
      <c r="E8" s="12">
        <v>81.265000000000001</v>
      </c>
      <c r="F8" s="12">
        <v>80</v>
      </c>
      <c r="G8" s="12">
        <f>ROUND((F8 - E8) / E8 * 100, 2)</f>
        <v>-1.56</v>
      </c>
      <c r="H8" s="13" t="s">
        <v>1182</v>
      </c>
      <c r="I8" s="13"/>
      <c r="J8" s="37" t="s">
        <v>784</v>
      </c>
      <c r="K8" s="13" t="s">
        <v>752</v>
      </c>
    </row>
    <row r="13" spans="1:12" x14ac:dyDescent="0.3">
      <c r="A13" s="8" t="s">
        <v>32</v>
      </c>
    </row>
    <row r="14" spans="1:12" x14ac:dyDescent="0.3">
      <c r="A14" s="8" t="s">
        <v>66</v>
      </c>
    </row>
    <row r="15" spans="1:12" x14ac:dyDescent="0.3">
      <c r="A15" s="8" t="s">
        <v>5</v>
      </c>
    </row>
    <row r="16" spans="1:12" x14ac:dyDescent="0.3">
      <c r="A16" s="8" t="s">
        <v>1162</v>
      </c>
      <c r="H16" s="3" t="s">
        <v>1061</v>
      </c>
    </row>
    <row r="17" spans="1:12" x14ac:dyDescent="0.3">
      <c r="A17" s="8" t="s">
        <v>29</v>
      </c>
    </row>
    <row r="18" spans="1:12" x14ac:dyDescent="0.3">
      <c r="A18" s="8" t="s">
        <v>1163</v>
      </c>
    </row>
    <row r="19" spans="1:12" x14ac:dyDescent="0.3">
      <c r="A19" s="8" t="s">
        <v>14</v>
      </c>
    </row>
    <row r="20" spans="1:12" x14ac:dyDescent="0.3">
      <c r="A20" s="8" t="s">
        <v>1164</v>
      </c>
    </row>
    <row r="21" spans="1:12" x14ac:dyDescent="0.3">
      <c r="A21" s="8" t="s">
        <v>624</v>
      </c>
    </row>
    <row r="22" spans="1:12" x14ac:dyDescent="0.3">
      <c r="A22" s="8" t="s">
        <v>743</v>
      </c>
    </row>
    <row r="26" spans="1:12" s="12" customFormat="1" x14ac:dyDescent="0.3">
      <c r="A26" s="12" t="s">
        <v>13</v>
      </c>
      <c r="B26" s="32" t="s">
        <v>822</v>
      </c>
      <c r="C26" s="16">
        <v>45778</v>
      </c>
      <c r="D26" s="32" t="s">
        <v>1147</v>
      </c>
      <c r="E26" s="12">
        <v>42.2</v>
      </c>
      <c r="F26" s="12">
        <v>39.65</v>
      </c>
      <c r="G26" s="12">
        <f t="shared" ref="G26" si="2">ROUND((F26 - E26) / E26 * 100, 2)</f>
        <v>-6.04</v>
      </c>
      <c r="H26" s="13" t="s">
        <v>993</v>
      </c>
      <c r="I26" s="13">
        <v>57</v>
      </c>
      <c r="J26" s="37" t="s">
        <v>784</v>
      </c>
      <c r="K26" s="13" t="s">
        <v>1139</v>
      </c>
      <c r="L26" s="12" t="s">
        <v>1043</v>
      </c>
    </row>
    <row r="27" spans="1:12" s="12" customFormat="1" x14ac:dyDescent="0.3">
      <c r="A27" s="12" t="s">
        <v>1032</v>
      </c>
      <c r="B27" s="32" t="s">
        <v>822</v>
      </c>
      <c r="C27" s="12" t="s">
        <v>1088</v>
      </c>
      <c r="D27" s="32"/>
      <c r="E27" s="12">
        <v>24.52</v>
      </c>
      <c r="F27" s="12">
        <v>23</v>
      </c>
      <c r="G27" s="12">
        <f t="shared" ref="G27:G32" si="3">ROUND((F27 - E27) / E27 * 100, 2)</f>
        <v>-6.2</v>
      </c>
      <c r="H27" s="13" t="s">
        <v>1089</v>
      </c>
      <c r="I27" s="13">
        <v>32.5</v>
      </c>
      <c r="J27" s="37" t="s">
        <v>784</v>
      </c>
      <c r="K27" s="13" t="s">
        <v>1127</v>
      </c>
    </row>
    <row r="28" spans="1:12" s="12" customFormat="1" x14ac:dyDescent="0.3">
      <c r="A28" s="12" t="s">
        <v>1062</v>
      </c>
      <c r="B28" s="32" t="s">
        <v>1073</v>
      </c>
      <c r="C28" s="16">
        <v>46175</v>
      </c>
      <c r="D28" s="32"/>
      <c r="E28" s="12">
        <v>89.6</v>
      </c>
      <c r="F28" s="12">
        <v>85.1</v>
      </c>
      <c r="G28" s="12">
        <f t="shared" si="3"/>
        <v>-5.0199999999999996</v>
      </c>
      <c r="H28" s="13" t="s">
        <v>1074</v>
      </c>
      <c r="I28" s="13"/>
      <c r="J28" s="37" t="s">
        <v>784</v>
      </c>
      <c r="K28" s="13" t="s">
        <v>757</v>
      </c>
    </row>
    <row r="29" spans="1:12" s="10" customFormat="1" ht="15.6" customHeight="1" x14ac:dyDescent="0.3">
      <c r="A29" s="10" t="s">
        <v>953</v>
      </c>
      <c r="B29" s="31" t="s">
        <v>731</v>
      </c>
      <c r="C29" s="15" t="s">
        <v>1054</v>
      </c>
      <c r="D29" s="31" t="s">
        <v>1112</v>
      </c>
      <c r="E29" s="10">
        <v>30.475000000000001</v>
      </c>
      <c r="F29" s="10">
        <v>35</v>
      </c>
      <c r="G29" s="10">
        <f t="shared" si="3"/>
        <v>14.85</v>
      </c>
      <c r="H29" s="7" t="s">
        <v>1055</v>
      </c>
      <c r="I29" s="7">
        <v>35</v>
      </c>
      <c r="J29" s="38" t="s">
        <v>784</v>
      </c>
      <c r="K29" s="7" t="s">
        <v>1096</v>
      </c>
    </row>
    <row r="30" spans="1:12" s="12" customFormat="1" ht="36" x14ac:dyDescent="0.3">
      <c r="A30" s="12" t="s">
        <v>1058</v>
      </c>
      <c r="B30" s="32" t="s">
        <v>824</v>
      </c>
      <c r="C30" s="16" t="s">
        <v>1063</v>
      </c>
      <c r="D30" s="32" t="s">
        <v>1080</v>
      </c>
      <c r="E30" s="12">
        <v>17.715</v>
      </c>
      <c r="F30" s="12">
        <v>16.850000000000001</v>
      </c>
      <c r="G30" s="12">
        <f t="shared" si="3"/>
        <v>-4.88</v>
      </c>
      <c r="H30" s="13" t="s">
        <v>1066</v>
      </c>
      <c r="I30" s="13"/>
      <c r="J30" s="37" t="s">
        <v>784</v>
      </c>
      <c r="K30" s="13" t="s">
        <v>1078</v>
      </c>
    </row>
    <row r="31" spans="1:12" s="42" customFormat="1" x14ac:dyDescent="0.3">
      <c r="A31" s="42" t="s">
        <v>515</v>
      </c>
      <c r="B31" s="43" t="s">
        <v>822</v>
      </c>
      <c r="C31" s="44" t="s">
        <v>829</v>
      </c>
      <c r="D31" s="43" t="s">
        <v>1059</v>
      </c>
      <c r="E31" s="42">
        <v>37.700000000000003</v>
      </c>
      <c r="F31" s="42">
        <v>40.299999999999997</v>
      </c>
      <c r="G31" s="42">
        <f t="shared" si="3"/>
        <v>6.9</v>
      </c>
      <c r="H31" s="45" t="s">
        <v>819</v>
      </c>
      <c r="I31" s="45">
        <v>49.9</v>
      </c>
      <c r="J31" s="46" t="s">
        <v>784</v>
      </c>
      <c r="K31" s="45" t="s">
        <v>1057</v>
      </c>
    </row>
    <row r="32" spans="1:12" s="12" customFormat="1" x14ac:dyDescent="0.3">
      <c r="A32" s="12" t="s">
        <v>17</v>
      </c>
      <c r="B32" s="32" t="s">
        <v>493</v>
      </c>
      <c r="C32" s="16">
        <v>45992</v>
      </c>
      <c r="D32" s="32" t="s">
        <v>1048</v>
      </c>
      <c r="E32" s="12">
        <v>32.5</v>
      </c>
      <c r="F32" s="12">
        <v>30.85</v>
      </c>
      <c r="G32" s="12">
        <f t="shared" si="3"/>
        <v>-5.08</v>
      </c>
      <c r="H32" s="13" t="s">
        <v>1016</v>
      </c>
      <c r="I32" s="13">
        <v>37.5</v>
      </c>
      <c r="J32" s="37" t="s">
        <v>784</v>
      </c>
      <c r="K32" s="13" t="s">
        <v>752</v>
      </c>
    </row>
    <row r="33" spans="1:11" s="12" customFormat="1" x14ac:dyDescent="0.3">
      <c r="A33" s="12" t="s">
        <v>22</v>
      </c>
      <c r="B33" s="32" t="s">
        <v>830</v>
      </c>
      <c r="C33" s="16" t="s">
        <v>1019</v>
      </c>
      <c r="D33" s="32" t="s">
        <v>1031</v>
      </c>
      <c r="E33" s="12">
        <v>43.35</v>
      </c>
      <c r="F33" s="12">
        <v>41.15</v>
      </c>
      <c r="G33" s="12">
        <f t="shared" ref="G33" si="4">ROUND((F33 - E33) / E33 * 100, 2)</f>
        <v>-5.07</v>
      </c>
      <c r="H33" s="13" t="s">
        <v>1020</v>
      </c>
      <c r="I33" s="13"/>
      <c r="J33" s="37" t="s">
        <v>784</v>
      </c>
      <c r="K33" s="13" t="s">
        <v>1029</v>
      </c>
    </row>
    <row r="34" spans="1:11" s="10" customFormat="1" ht="36" x14ac:dyDescent="0.3">
      <c r="A34" s="10" t="s">
        <v>35</v>
      </c>
      <c r="B34" s="31" t="s">
        <v>528</v>
      </c>
      <c r="C34" s="15">
        <v>45809</v>
      </c>
      <c r="D34" s="31" t="s">
        <v>1018</v>
      </c>
      <c r="E34" s="10">
        <v>66.653000000000006</v>
      </c>
      <c r="F34" s="10">
        <v>67</v>
      </c>
      <c r="G34" s="10">
        <f>ROUND((F34 - E34) / E34 * 100, 2)</f>
        <v>0.52</v>
      </c>
      <c r="H34" s="7" t="s">
        <v>1000</v>
      </c>
      <c r="I34" s="7"/>
      <c r="J34" s="38"/>
      <c r="K34" s="7" t="s">
        <v>1015</v>
      </c>
    </row>
    <row r="35" spans="1:11" s="10" customFormat="1" ht="36" x14ac:dyDescent="0.3">
      <c r="A35" s="10" t="s">
        <v>35</v>
      </c>
      <c r="B35" s="31" t="s">
        <v>528</v>
      </c>
      <c r="C35" s="15">
        <v>45809</v>
      </c>
      <c r="D35" s="31" t="s">
        <v>1018</v>
      </c>
      <c r="E35" s="10">
        <v>66.653000000000006</v>
      </c>
      <c r="F35" s="10">
        <v>67.599999999999994</v>
      </c>
      <c r="G35" s="10">
        <f t="shared" ref="G35" si="5">ROUND((F35 - E35) / E35 * 100, 2)</f>
        <v>1.42</v>
      </c>
      <c r="H35" s="7" t="s">
        <v>1000</v>
      </c>
      <c r="I35" s="7"/>
      <c r="J35" s="38"/>
      <c r="K35" s="7" t="s">
        <v>1015</v>
      </c>
    </row>
    <row r="36" spans="1:11" s="10" customFormat="1" x14ac:dyDescent="0.3">
      <c r="A36" s="10" t="s">
        <v>768</v>
      </c>
      <c r="B36" s="31" t="s">
        <v>533</v>
      </c>
      <c r="C36" s="15">
        <v>46003</v>
      </c>
      <c r="D36" s="31" t="s">
        <v>1014</v>
      </c>
      <c r="E36" s="10">
        <v>92.1</v>
      </c>
      <c r="F36" s="10">
        <v>92.6</v>
      </c>
      <c r="G36" s="10">
        <f t="shared" ref="G36" si="6">ROUND((F36 - E36) / E36 * 100, 2)</f>
        <v>0.54</v>
      </c>
      <c r="H36" s="7" t="s">
        <v>951</v>
      </c>
      <c r="I36" s="7">
        <v>108</v>
      </c>
      <c r="J36" s="38"/>
      <c r="K36" s="7" t="s">
        <v>1012</v>
      </c>
    </row>
    <row r="37" spans="1:11" s="12" customFormat="1" x14ac:dyDescent="0.3">
      <c r="A37" s="12" t="s">
        <v>20</v>
      </c>
      <c r="B37" s="32" t="s">
        <v>587</v>
      </c>
      <c r="C37" s="16">
        <v>45669</v>
      </c>
      <c r="D37" s="32"/>
      <c r="E37" s="12">
        <v>48.85</v>
      </c>
      <c r="F37" s="12">
        <v>48.5</v>
      </c>
      <c r="G37" s="12">
        <f t="shared" ref="G37" si="7">ROUND((F37 - E37) / E37 * 100, 2)</f>
        <v>-0.72</v>
      </c>
      <c r="H37" s="13" t="s">
        <v>923</v>
      </c>
      <c r="I37" s="13">
        <v>59.5</v>
      </c>
      <c r="J37" s="37" t="s">
        <v>784</v>
      </c>
      <c r="K37" s="13" t="s">
        <v>1006</v>
      </c>
    </row>
    <row r="38" spans="1:11" s="12" customFormat="1" x14ac:dyDescent="0.3">
      <c r="A38" s="12" t="s">
        <v>780</v>
      </c>
      <c r="B38" s="32" t="s">
        <v>894</v>
      </c>
      <c r="C38" s="16">
        <v>45942</v>
      </c>
      <c r="D38" s="32" t="s">
        <v>999</v>
      </c>
      <c r="E38" s="12">
        <v>11</v>
      </c>
      <c r="F38" s="12">
        <v>9.9499999999999993</v>
      </c>
      <c r="G38" s="12">
        <f>ROUND((F38 - E38) / E38 * 100, 2)</f>
        <v>-9.5500000000000007</v>
      </c>
      <c r="H38" s="13" t="s">
        <v>947</v>
      </c>
      <c r="I38" s="13"/>
      <c r="J38" s="37" t="s">
        <v>997</v>
      </c>
      <c r="K38" s="13" t="s">
        <v>996</v>
      </c>
    </row>
    <row r="39" spans="1:11" s="12" customFormat="1" x14ac:dyDescent="0.3">
      <c r="A39" s="12" t="s">
        <v>30</v>
      </c>
      <c r="B39" s="32" t="s">
        <v>994</v>
      </c>
      <c r="C39" s="12" t="s">
        <v>973</v>
      </c>
      <c r="D39" s="32" t="s">
        <v>999</v>
      </c>
      <c r="E39" s="12">
        <v>34.270000000000003</v>
      </c>
      <c r="F39" s="12">
        <v>31.3</v>
      </c>
      <c r="G39" s="12">
        <f>ROUND((F39 - E39) / E39 * 100, 2)</f>
        <v>-8.67</v>
      </c>
      <c r="H39" s="13" t="s">
        <v>974</v>
      </c>
      <c r="I39" s="13"/>
      <c r="J39" s="37" t="s">
        <v>998</v>
      </c>
      <c r="K39" s="13" t="s">
        <v>752</v>
      </c>
    </row>
    <row r="40" spans="1:11" s="12" customFormat="1" x14ac:dyDescent="0.3">
      <c r="A40" s="12" t="s">
        <v>953</v>
      </c>
      <c r="B40" s="32" t="s">
        <v>954</v>
      </c>
      <c r="C40" s="16">
        <v>46003</v>
      </c>
      <c r="D40" s="32" t="s">
        <v>985</v>
      </c>
      <c r="E40" s="12">
        <v>28.75</v>
      </c>
      <c r="F40" s="12">
        <v>27.35</v>
      </c>
      <c r="G40" s="12">
        <f>ROUND((F40 - E40) / E40 * 100, 2)</f>
        <v>-4.87</v>
      </c>
      <c r="H40" s="13" t="s">
        <v>955</v>
      </c>
      <c r="I40" s="13">
        <v>32.200000000000003</v>
      </c>
      <c r="J40" s="37" t="s">
        <v>784</v>
      </c>
      <c r="K40" s="13" t="s">
        <v>757</v>
      </c>
    </row>
    <row r="41" spans="1:11" s="12" customFormat="1" x14ac:dyDescent="0.3">
      <c r="A41" s="12" t="s">
        <v>34</v>
      </c>
      <c r="B41" s="32" t="s">
        <v>718</v>
      </c>
      <c r="C41" s="12" t="s">
        <v>966</v>
      </c>
      <c r="D41" s="32" t="s">
        <v>980</v>
      </c>
      <c r="E41" s="12">
        <v>27.872</v>
      </c>
      <c r="F41" s="12">
        <v>26.5</v>
      </c>
      <c r="G41" s="12">
        <f>ROUND((F41 - E41) / E41 * 100, 2)</f>
        <v>-4.92</v>
      </c>
      <c r="H41" s="13" t="s">
        <v>967</v>
      </c>
      <c r="I41" s="13"/>
      <c r="J41" s="37" t="s">
        <v>784</v>
      </c>
      <c r="K41" s="13" t="s">
        <v>970</v>
      </c>
    </row>
    <row r="42" spans="1:11" s="12" customFormat="1" x14ac:dyDescent="0.3">
      <c r="A42" s="12" t="s">
        <v>41</v>
      </c>
      <c r="B42" s="32" t="s">
        <v>529</v>
      </c>
      <c r="C42" s="16">
        <v>45881</v>
      </c>
      <c r="D42" s="32" t="s">
        <v>958</v>
      </c>
      <c r="E42" s="12">
        <v>4.8040000000000003</v>
      </c>
      <c r="F42" s="12">
        <v>4.5599999999999996</v>
      </c>
      <c r="G42" s="12">
        <f>ROUND((F42 - E42) / E42 * 100, 2)</f>
        <v>-5.08</v>
      </c>
      <c r="H42" s="13" t="s">
        <v>938</v>
      </c>
      <c r="I42" s="13"/>
      <c r="J42" s="37" t="s">
        <v>784</v>
      </c>
      <c r="K42" s="13" t="s">
        <v>752</v>
      </c>
    </row>
    <row r="43" spans="1:11" s="12" customFormat="1" x14ac:dyDescent="0.3">
      <c r="A43" s="12" t="s">
        <v>736</v>
      </c>
      <c r="B43" s="32" t="s">
        <v>754</v>
      </c>
      <c r="C43" s="12" t="s">
        <v>907</v>
      </c>
      <c r="D43" s="32" t="s">
        <v>958</v>
      </c>
      <c r="E43" s="12">
        <v>12.41</v>
      </c>
      <c r="F43" s="12">
        <v>11.8</v>
      </c>
      <c r="G43" s="12">
        <f t="shared" ref="G43" si="8">ROUND((F43 - E43) / E43 * 100, 2)</f>
        <v>-4.92</v>
      </c>
      <c r="H43" s="13" t="s">
        <v>893</v>
      </c>
      <c r="I43" s="13"/>
      <c r="J43" s="37" t="s">
        <v>784</v>
      </c>
      <c r="K43" s="13" t="s">
        <v>752</v>
      </c>
    </row>
    <row r="44" spans="1:11" s="12" customFormat="1" x14ac:dyDescent="0.3">
      <c r="A44" s="12" t="s">
        <v>396</v>
      </c>
      <c r="B44" s="32" t="s">
        <v>930</v>
      </c>
      <c r="C44" s="16">
        <v>45759</v>
      </c>
      <c r="D44" s="32" t="s">
        <v>952</v>
      </c>
      <c r="E44" s="12">
        <v>29.524000000000001</v>
      </c>
      <c r="F44" s="12">
        <v>26.4</v>
      </c>
      <c r="G44" s="12">
        <f>ROUND((F44 - E44) / E44 * 100, 2)</f>
        <v>-10.58</v>
      </c>
      <c r="H44" s="13" t="s">
        <v>931</v>
      </c>
      <c r="I44" s="13"/>
      <c r="J44" s="37"/>
      <c r="K44" s="13" t="s">
        <v>944</v>
      </c>
    </row>
    <row r="45" spans="1:11" s="12" customFormat="1" x14ac:dyDescent="0.3">
      <c r="A45" s="12" t="s">
        <v>11</v>
      </c>
      <c r="B45" s="32" t="s">
        <v>587</v>
      </c>
      <c r="C45" s="16" t="s">
        <v>836</v>
      </c>
      <c r="D45" s="32" t="s">
        <v>952</v>
      </c>
      <c r="E45" s="12">
        <v>93.1</v>
      </c>
      <c r="F45" s="12">
        <v>93</v>
      </c>
      <c r="G45" s="12">
        <f>ROUND((F45 - E45) / E45 * 100, 2)</f>
        <v>-0.11</v>
      </c>
      <c r="H45" s="13" t="s">
        <v>760</v>
      </c>
      <c r="I45" s="13">
        <v>107</v>
      </c>
      <c r="J45" s="37" t="s">
        <v>945</v>
      </c>
      <c r="K45" s="13" t="s">
        <v>949</v>
      </c>
    </row>
    <row r="46" spans="1:11" s="12" customFormat="1" x14ac:dyDescent="0.3">
      <c r="A46" s="12" t="s">
        <v>24</v>
      </c>
      <c r="B46" s="32" t="s">
        <v>908</v>
      </c>
      <c r="C46" s="12" t="s">
        <v>907</v>
      </c>
      <c r="D46" s="32" t="s">
        <v>952</v>
      </c>
      <c r="E46" s="12">
        <v>28.93</v>
      </c>
      <c r="F46" s="12">
        <v>27.5</v>
      </c>
      <c r="G46" s="12">
        <f t="shared" ref="G46" si="9">ROUND((F46 - E46) / E46 * 100, 2)</f>
        <v>-4.9400000000000004</v>
      </c>
      <c r="H46" s="13" t="s">
        <v>893</v>
      </c>
      <c r="I46" s="13">
        <v>33.799999999999997</v>
      </c>
      <c r="J46" s="37" t="s">
        <v>784</v>
      </c>
      <c r="K46" s="13" t="s">
        <v>811</v>
      </c>
    </row>
    <row r="47" spans="1:11" s="10" customFormat="1" x14ac:dyDescent="0.3">
      <c r="A47" s="10" t="s">
        <v>780</v>
      </c>
      <c r="B47" s="31" t="s">
        <v>894</v>
      </c>
      <c r="C47" s="10" t="s">
        <v>892</v>
      </c>
      <c r="D47" s="32" t="s">
        <v>942</v>
      </c>
      <c r="E47" s="10">
        <v>10.507999999999999</v>
      </c>
      <c r="F47" s="10">
        <v>11.25</v>
      </c>
      <c r="G47" s="10">
        <f t="shared" ref="G47" si="10">ROUND((F47 - E47) / E47 * 100, 2)</f>
        <v>7.06</v>
      </c>
      <c r="H47" s="7" t="s">
        <v>893</v>
      </c>
      <c r="I47" s="7">
        <v>11.6</v>
      </c>
      <c r="J47" s="38" t="s">
        <v>784</v>
      </c>
      <c r="K47" s="7" t="s">
        <v>940</v>
      </c>
    </row>
    <row r="48" spans="1:11" s="12" customFormat="1" x14ac:dyDescent="0.3">
      <c r="A48" s="12" t="s">
        <v>13</v>
      </c>
      <c r="B48" s="32" t="s">
        <v>493</v>
      </c>
      <c r="C48" s="12" t="s">
        <v>912</v>
      </c>
      <c r="D48" s="32" t="s">
        <v>942</v>
      </c>
      <c r="E48" s="12">
        <v>43.435000000000002</v>
      </c>
      <c r="F48" s="12">
        <v>41.25</v>
      </c>
      <c r="G48" s="12">
        <f>ROUND((F48 - E48) / E48 * 100, 2)</f>
        <v>-5.03</v>
      </c>
      <c r="H48" s="13" t="s">
        <v>915</v>
      </c>
      <c r="I48" s="13">
        <v>48.5</v>
      </c>
      <c r="J48" s="37" t="s">
        <v>784</v>
      </c>
      <c r="K48" s="13" t="s">
        <v>941</v>
      </c>
    </row>
    <row r="49" spans="1:12" s="12" customFormat="1" x14ac:dyDescent="0.3">
      <c r="A49" s="12" t="s">
        <v>22</v>
      </c>
      <c r="B49" s="32" t="s">
        <v>625</v>
      </c>
      <c r="C49" s="12" t="s">
        <v>912</v>
      </c>
      <c r="D49" s="32" t="s">
        <v>937</v>
      </c>
      <c r="E49" s="12">
        <v>45.936999999999998</v>
      </c>
      <c r="F49" s="12">
        <v>43.65</v>
      </c>
      <c r="G49" s="12">
        <f>ROUND((F49 - E49) / E49 * 100, 2)</f>
        <v>-4.9800000000000004</v>
      </c>
      <c r="H49" s="13" t="s">
        <v>914</v>
      </c>
      <c r="I49" s="13">
        <v>52.5</v>
      </c>
      <c r="J49" s="37" t="s">
        <v>784</v>
      </c>
      <c r="K49" s="13" t="s">
        <v>936</v>
      </c>
    </row>
    <row r="50" spans="1:12" s="12" customFormat="1" x14ac:dyDescent="0.3">
      <c r="A50" s="12" t="s">
        <v>735</v>
      </c>
      <c r="B50" s="32" t="s">
        <v>822</v>
      </c>
      <c r="C50" s="16">
        <v>45819</v>
      </c>
      <c r="D50" s="32" t="s">
        <v>922</v>
      </c>
      <c r="E50" s="12">
        <v>31.475000000000001</v>
      </c>
      <c r="F50" s="12">
        <v>30.8</v>
      </c>
      <c r="G50" s="12">
        <f t="shared" ref="G50" si="11">ROUND((F50 - E50) / E50 * 100, 2)</f>
        <v>-2.14</v>
      </c>
      <c r="H50" s="13" t="s">
        <v>835</v>
      </c>
      <c r="I50" s="13">
        <v>35.35</v>
      </c>
      <c r="J50" s="37" t="s">
        <v>784</v>
      </c>
      <c r="K50" s="13" t="s">
        <v>918</v>
      </c>
    </row>
    <row r="51" spans="1:12" s="12" customFormat="1" x14ac:dyDescent="0.3">
      <c r="A51" s="12" t="s">
        <v>107</v>
      </c>
      <c r="B51" s="32" t="s">
        <v>879</v>
      </c>
      <c r="C51" s="16">
        <v>45941</v>
      </c>
      <c r="D51" s="16" t="s">
        <v>911</v>
      </c>
      <c r="E51" s="12">
        <v>16.914999999999999</v>
      </c>
      <c r="F51" s="12">
        <v>16.05</v>
      </c>
      <c r="G51" s="12">
        <f t="shared" ref="G51:G64" si="12">ROUND((F51 - E51) / E51 * 100, 2)</f>
        <v>-5.1100000000000003</v>
      </c>
      <c r="H51" s="13" t="s">
        <v>843</v>
      </c>
      <c r="I51" s="13">
        <v>19.5</v>
      </c>
      <c r="J51" s="37" t="s">
        <v>784</v>
      </c>
      <c r="K51" s="13" t="s">
        <v>909</v>
      </c>
    </row>
    <row r="52" spans="1:12" s="12" customFormat="1" x14ac:dyDescent="0.3">
      <c r="A52" s="12" t="s">
        <v>10</v>
      </c>
      <c r="B52" s="32" t="s">
        <v>489</v>
      </c>
      <c r="C52" s="12" t="s">
        <v>892</v>
      </c>
      <c r="D52" s="16" t="s">
        <v>911</v>
      </c>
      <c r="E52" s="12">
        <v>21.016999999999999</v>
      </c>
      <c r="F52" s="12">
        <v>19.95</v>
      </c>
      <c r="G52" s="12">
        <f t="shared" si="12"/>
        <v>-5.08</v>
      </c>
      <c r="H52" s="13" t="s">
        <v>893</v>
      </c>
      <c r="I52" s="13">
        <v>24.6</v>
      </c>
      <c r="J52" s="37" t="s">
        <v>784</v>
      </c>
      <c r="K52" s="13" t="s">
        <v>758</v>
      </c>
    </row>
    <row r="53" spans="1:12" s="12" customFormat="1" x14ac:dyDescent="0.3">
      <c r="A53" s="12" t="s">
        <v>842</v>
      </c>
      <c r="B53" s="32" t="s">
        <v>731</v>
      </c>
      <c r="C53" s="16" t="s">
        <v>841</v>
      </c>
      <c r="D53" s="32"/>
      <c r="E53" s="12">
        <v>54.65</v>
      </c>
      <c r="F53" s="12">
        <v>53.4</v>
      </c>
      <c r="G53" s="12">
        <f t="shared" si="12"/>
        <v>-2.29</v>
      </c>
      <c r="H53" s="13" t="s">
        <v>843</v>
      </c>
      <c r="I53" s="13">
        <v>60</v>
      </c>
      <c r="J53" s="37" t="s">
        <v>784</v>
      </c>
      <c r="K53" s="13" t="s">
        <v>752</v>
      </c>
    </row>
    <row r="54" spans="1:12" s="12" customFormat="1" x14ac:dyDescent="0.3">
      <c r="A54" s="12" t="s">
        <v>821</v>
      </c>
      <c r="B54" s="32" t="s">
        <v>822</v>
      </c>
      <c r="C54" s="16" t="s">
        <v>820</v>
      </c>
      <c r="D54" s="32" t="s">
        <v>907</v>
      </c>
      <c r="E54" s="12">
        <v>34.33</v>
      </c>
      <c r="F54" s="12">
        <v>33.9</v>
      </c>
      <c r="G54" s="12">
        <f t="shared" si="12"/>
        <v>-1.25</v>
      </c>
      <c r="H54" s="13" t="s">
        <v>819</v>
      </c>
      <c r="I54" s="13" t="s">
        <v>897</v>
      </c>
      <c r="J54" s="37" t="s">
        <v>784</v>
      </c>
      <c r="K54" s="13" t="s">
        <v>906</v>
      </c>
    </row>
    <row r="55" spans="1:12" s="12" customFormat="1" x14ac:dyDescent="0.3">
      <c r="A55" s="12" t="s">
        <v>35</v>
      </c>
      <c r="B55" s="32" t="s">
        <v>871</v>
      </c>
      <c r="C55" s="16">
        <v>45819</v>
      </c>
      <c r="D55" s="32" t="s">
        <v>903</v>
      </c>
      <c r="E55" s="12">
        <v>68.954999999999998</v>
      </c>
      <c r="F55" s="12">
        <v>65.5</v>
      </c>
      <c r="G55" s="12">
        <f t="shared" si="12"/>
        <v>-5.01</v>
      </c>
      <c r="H55" s="13" t="s">
        <v>872</v>
      </c>
      <c r="I55" s="13">
        <v>78</v>
      </c>
      <c r="J55" s="37" t="s">
        <v>784</v>
      </c>
      <c r="K55" s="13" t="s">
        <v>757</v>
      </c>
    </row>
    <row r="56" spans="1:12" s="12" customFormat="1" x14ac:dyDescent="0.3">
      <c r="A56" s="12" t="s">
        <v>823</v>
      </c>
      <c r="B56" s="32" t="s">
        <v>731</v>
      </c>
      <c r="C56" s="16" t="s">
        <v>852</v>
      </c>
      <c r="D56" s="32" t="s">
        <v>889</v>
      </c>
      <c r="E56" s="12">
        <v>17.965</v>
      </c>
      <c r="F56" s="12">
        <v>17.05</v>
      </c>
      <c r="G56" s="12">
        <f t="shared" si="12"/>
        <v>-5.09</v>
      </c>
      <c r="H56" s="13" t="s">
        <v>853</v>
      </c>
      <c r="I56" s="13" t="s">
        <v>886</v>
      </c>
      <c r="J56" s="37" t="s">
        <v>784</v>
      </c>
      <c r="K56" s="13" t="s">
        <v>887</v>
      </c>
    </row>
    <row r="57" spans="1:12" s="12" customFormat="1" x14ac:dyDescent="0.3">
      <c r="A57" s="12" t="s">
        <v>107</v>
      </c>
      <c r="B57" s="32" t="s">
        <v>867</v>
      </c>
      <c r="C57" s="16">
        <v>45788</v>
      </c>
      <c r="D57" s="32" t="s">
        <v>878</v>
      </c>
      <c r="E57" s="12">
        <v>17.114000000000001</v>
      </c>
      <c r="F57" s="12">
        <v>16.25</v>
      </c>
      <c r="G57" s="12">
        <f t="shared" si="12"/>
        <v>-5.05</v>
      </c>
      <c r="H57" s="13" t="s">
        <v>868</v>
      </c>
      <c r="I57" s="13"/>
      <c r="J57" s="37" t="s">
        <v>784</v>
      </c>
      <c r="K57" s="13" t="s">
        <v>874</v>
      </c>
    </row>
    <row r="58" spans="1:12" s="12" customFormat="1" x14ac:dyDescent="0.3">
      <c r="A58" s="12" t="s">
        <v>13</v>
      </c>
      <c r="B58" s="32" t="s">
        <v>686</v>
      </c>
      <c r="C58" s="16">
        <v>45727</v>
      </c>
      <c r="D58" s="32" t="s">
        <v>870</v>
      </c>
      <c r="E58" s="12">
        <v>40.131999999999998</v>
      </c>
      <c r="F58" s="12">
        <v>39.049999999999997</v>
      </c>
      <c r="G58" s="12">
        <f t="shared" si="12"/>
        <v>-2.7</v>
      </c>
      <c r="H58" s="13" t="s">
        <v>860</v>
      </c>
      <c r="I58" s="13">
        <v>45.4</v>
      </c>
      <c r="J58" s="37" t="s">
        <v>784</v>
      </c>
      <c r="K58" s="13" t="s">
        <v>796</v>
      </c>
    </row>
    <row r="59" spans="1:12" s="12" customFormat="1" x14ac:dyDescent="0.3">
      <c r="A59" s="12" t="s">
        <v>863</v>
      </c>
      <c r="B59" s="32" t="s">
        <v>776</v>
      </c>
      <c r="C59" s="16">
        <v>45758</v>
      </c>
      <c r="D59" s="32" t="s">
        <v>870</v>
      </c>
      <c r="E59" s="12">
        <v>25.971</v>
      </c>
      <c r="F59" s="12">
        <v>25.45</v>
      </c>
      <c r="G59" s="12">
        <f t="shared" si="12"/>
        <v>-2.0099999999999998</v>
      </c>
      <c r="H59" s="13" t="s">
        <v>760</v>
      </c>
      <c r="I59" s="13"/>
      <c r="J59" s="37"/>
      <c r="K59" s="13" t="s">
        <v>752</v>
      </c>
    </row>
    <row r="60" spans="1:12" s="12" customFormat="1" x14ac:dyDescent="0.3">
      <c r="A60" s="12" t="s">
        <v>30</v>
      </c>
      <c r="B60" s="32" t="s">
        <v>510</v>
      </c>
      <c r="C60" s="16" t="s">
        <v>836</v>
      </c>
      <c r="D60" s="32" t="s">
        <v>862</v>
      </c>
      <c r="E60" s="12">
        <v>35.078000000000003</v>
      </c>
      <c r="F60" s="12">
        <v>33.299999999999997</v>
      </c>
      <c r="G60" s="12">
        <f t="shared" si="12"/>
        <v>-5.07</v>
      </c>
      <c r="H60" s="13" t="s">
        <v>760</v>
      </c>
      <c r="I60" s="13">
        <v>38</v>
      </c>
      <c r="J60" s="37" t="s">
        <v>784</v>
      </c>
      <c r="K60" s="13" t="s">
        <v>859</v>
      </c>
      <c r="L60" s="12" t="s">
        <v>865</v>
      </c>
    </row>
    <row r="61" spans="1:12" s="12" customFormat="1" x14ac:dyDescent="0.3">
      <c r="A61" s="12" t="s">
        <v>655</v>
      </c>
      <c r="B61" s="32" t="s">
        <v>587</v>
      </c>
      <c r="C61" s="16" t="s">
        <v>836</v>
      </c>
      <c r="D61" s="32" t="s">
        <v>862</v>
      </c>
      <c r="E61" s="12">
        <v>93.674999999999997</v>
      </c>
      <c r="F61" s="12">
        <v>89</v>
      </c>
      <c r="G61" s="12">
        <f t="shared" si="12"/>
        <v>-4.99</v>
      </c>
      <c r="H61" s="13"/>
      <c r="I61" s="13">
        <v>101</v>
      </c>
      <c r="J61" s="37" t="s">
        <v>784</v>
      </c>
      <c r="K61" s="13" t="s">
        <v>858</v>
      </c>
    </row>
    <row r="62" spans="1:12" s="12" customFormat="1" x14ac:dyDescent="0.3">
      <c r="A62" s="12" t="s">
        <v>37</v>
      </c>
      <c r="B62" s="32" t="s">
        <v>846</v>
      </c>
      <c r="C62" s="16" t="s">
        <v>845</v>
      </c>
      <c r="D62" s="32" t="s">
        <v>857</v>
      </c>
      <c r="E62" s="12">
        <v>13.51</v>
      </c>
      <c r="F62" s="12">
        <v>12.8</v>
      </c>
      <c r="G62" s="12">
        <f t="shared" si="12"/>
        <v>-5.26</v>
      </c>
      <c r="H62" s="13" t="s">
        <v>847</v>
      </c>
      <c r="I62" s="13"/>
      <c r="J62" s="37" t="s">
        <v>784</v>
      </c>
      <c r="K62" s="13" t="s">
        <v>856</v>
      </c>
    </row>
    <row r="63" spans="1:12" s="10" customFormat="1" x14ac:dyDescent="0.3">
      <c r="A63" s="10" t="s">
        <v>823</v>
      </c>
      <c r="B63" s="31" t="s">
        <v>824</v>
      </c>
      <c r="C63" s="15" t="s">
        <v>820</v>
      </c>
      <c r="D63" s="15" t="s">
        <v>850</v>
      </c>
      <c r="E63" s="10">
        <v>16.559999999999999</v>
      </c>
      <c r="F63" s="10">
        <v>17.75</v>
      </c>
      <c r="G63" s="10">
        <f t="shared" si="12"/>
        <v>7.19</v>
      </c>
      <c r="H63" s="7" t="s">
        <v>819</v>
      </c>
      <c r="I63" s="7">
        <v>17.75</v>
      </c>
      <c r="J63" s="38" t="s">
        <v>784</v>
      </c>
      <c r="K63" s="7" t="s">
        <v>837</v>
      </c>
    </row>
    <row r="64" spans="1:12" s="12" customFormat="1" x14ac:dyDescent="0.3">
      <c r="A64" s="12" t="s">
        <v>827</v>
      </c>
      <c r="B64" s="32" t="s">
        <v>533</v>
      </c>
      <c r="C64" s="16" t="s">
        <v>826</v>
      </c>
      <c r="D64" s="32" t="s">
        <v>841</v>
      </c>
      <c r="E64" s="12">
        <v>113.3</v>
      </c>
      <c r="F64" s="12">
        <v>104</v>
      </c>
      <c r="G64" s="12">
        <f t="shared" si="12"/>
        <v>-8.2100000000000009</v>
      </c>
      <c r="H64" s="13" t="s">
        <v>819</v>
      </c>
      <c r="I64" s="13"/>
      <c r="J64" s="37" t="s">
        <v>840</v>
      </c>
      <c r="K64" s="13" t="s">
        <v>838</v>
      </c>
    </row>
    <row r="65" spans="1:12" s="12" customFormat="1" x14ac:dyDescent="0.3">
      <c r="A65" s="12" t="s">
        <v>24</v>
      </c>
      <c r="B65" s="32" t="s">
        <v>776</v>
      </c>
      <c r="C65" s="16" t="s">
        <v>816</v>
      </c>
      <c r="D65" s="32" t="s">
        <v>848</v>
      </c>
      <c r="E65" s="12">
        <v>30.425000000000001</v>
      </c>
      <c r="F65" s="12">
        <v>28.9</v>
      </c>
      <c r="G65" s="12">
        <f t="shared" ref="G65" si="13">ROUND((F65 - E65) / E65 * 100, 2)</f>
        <v>-5.01</v>
      </c>
      <c r="H65" s="13" t="s">
        <v>817</v>
      </c>
      <c r="I65" s="13"/>
      <c r="J65" s="37" t="s">
        <v>784</v>
      </c>
      <c r="K65" s="13" t="s">
        <v>833</v>
      </c>
    </row>
    <row r="66" spans="1:12" s="12" customFormat="1" x14ac:dyDescent="0.3">
      <c r="A66" s="12" t="s">
        <v>10</v>
      </c>
      <c r="B66" s="32" t="s">
        <v>505</v>
      </c>
      <c r="C66" s="16" t="s">
        <v>820</v>
      </c>
      <c r="D66" s="32" t="s">
        <v>848</v>
      </c>
      <c r="E66" s="12">
        <v>22.22</v>
      </c>
      <c r="F66" s="12">
        <v>21.1</v>
      </c>
      <c r="G66" s="12">
        <f>ROUND((F66 - E66) / E66 * 100, 2)</f>
        <v>-5.04</v>
      </c>
      <c r="H66" s="13" t="s">
        <v>819</v>
      </c>
      <c r="I66" s="13">
        <v>24.6</v>
      </c>
      <c r="J66" s="37" t="s">
        <v>784</v>
      </c>
      <c r="K66" s="13" t="s">
        <v>834</v>
      </c>
    </row>
    <row r="67" spans="1:12" s="12" customFormat="1" x14ac:dyDescent="0.3">
      <c r="A67" s="8"/>
      <c r="B67" s="32" t="s">
        <v>792</v>
      </c>
      <c r="C67" s="16">
        <v>45940</v>
      </c>
      <c r="D67" s="32"/>
      <c r="E67" s="12">
        <v>15.863</v>
      </c>
      <c r="F67" s="12">
        <v>15.05</v>
      </c>
      <c r="G67" s="12">
        <f t="shared" ref="G67" si="14">ROUND((F67 - E67) / E67 * 100, 2)</f>
        <v>-5.13</v>
      </c>
      <c r="H67" s="13" t="s">
        <v>793</v>
      </c>
      <c r="I67" s="13"/>
      <c r="J67" s="37" t="s">
        <v>784</v>
      </c>
      <c r="K67" s="13" t="s">
        <v>812</v>
      </c>
    </row>
    <row r="68" spans="1:12" s="12" customFormat="1" x14ac:dyDescent="0.3">
      <c r="A68" s="8"/>
      <c r="B68" s="32" t="s">
        <v>528</v>
      </c>
      <c r="C68" s="16">
        <v>45848</v>
      </c>
      <c r="D68" s="32" t="s">
        <v>814</v>
      </c>
      <c r="E68" s="12">
        <v>12.484999999999999</v>
      </c>
      <c r="F68" s="12">
        <v>11.8</v>
      </c>
      <c r="G68" s="12">
        <f>ROUND((F68 - E68) / E68 * 100, 2)</f>
        <v>-5.49</v>
      </c>
      <c r="H68" s="13" t="s">
        <v>760</v>
      </c>
      <c r="I68" s="13"/>
      <c r="J68" s="37" t="s">
        <v>802</v>
      </c>
      <c r="K68" s="13" t="s">
        <v>811</v>
      </c>
    </row>
    <row r="69" spans="1:12" s="12" customFormat="1" x14ac:dyDescent="0.3">
      <c r="A69" s="12" t="s">
        <v>1</v>
      </c>
      <c r="B69" s="32" t="s">
        <v>777</v>
      </c>
      <c r="C69" s="16">
        <v>45818</v>
      </c>
      <c r="D69" s="32" t="s">
        <v>814</v>
      </c>
      <c r="E69" s="12">
        <v>31.4</v>
      </c>
      <c r="F69" s="12">
        <v>29.9</v>
      </c>
      <c r="G69" s="12">
        <f t="shared" ref="G69" si="15">ROUND((F69 - E69) / E69 * 100, 2)</f>
        <v>-4.78</v>
      </c>
      <c r="H69" s="13" t="s">
        <v>767</v>
      </c>
      <c r="I69" s="13">
        <v>38.5</v>
      </c>
      <c r="J69" s="37" t="s">
        <v>784</v>
      </c>
      <c r="K69" s="13" t="s">
        <v>810</v>
      </c>
    </row>
    <row r="70" spans="1:12" s="12" customFormat="1" x14ac:dyDescent="0.3">
      <c r="A70" s="12" t="s">
        <v>780</v>
      </c>
      <c r="B70" s="32" t="s">
        <v>488</v>
      </c>
      <c r="C70" s="16">
        <v>45698</v>
      </c>
      <c r="D70" s="32" t="s">
        <v>814</v>
      </c>
      <c r="E70" s="12">
        <v>13.1</v>
      </c>
      <c r="F70" s="12">
        <v>12.5</v>
      </c>
      <c r="G70" s="12">
        <f t="shared" ref="G70" si="16">ROUND((F70 - E70) / E70 * 100, 2)</f>
        <v>-4.58</v>
      </c>
      <c r="H70" s="13" t="s">
        <v>767</v>
      </c>
      <c r="I70" s="13">
        <v>14.9</v>
      </c>
      <c r="J70" s="37" t="s">
        <v>785</v>
      </c>
      <c r="K70" s="13" t="s">
        <v>752</v>
      </c>
    </row>
    <row r="71" spans="1:12" s="12" customFormat="1" x14ac:dyDescent="0.3">
      <c r="A71" s="12" t="s">
        <v>24</v>
      </c>
      <c r="B71" s="32" t="s">
        <v>488</v>
      </c>
      <c r="C71" s="16" t="s">
        <v>744</v>
      </c>
      <c r="D71" s="32" t="s">
        <v>814</v>
      </c>
      <c r="E71" s="12">
        <v>13.311</v>
      </c>
      <c r="F71" s="12">
        <v>13</v>
      </c>
      <c r="G71" s="12">
        <f t="shared" ref="G71" si="17">ROUND((F71 - E71) / E71 * 100, 2)</f>
        <v>-2.34</v>
      </c>
      <c r="H71" s="13" t="s">
        <v>747</v>
      </c>
      <c r="I71" s="13">
        <v>16.399999999999999</v>
      </c>
      <c r="J71" s="37" t="s">
        <v>774</v>
      </c>
      <c r="K71" s="13" t="s">
        <v>788</v>
      </c>
    </row>
    <row r="72" spans="1:12" s="12" customFormat="1" x14ac:dyDescent="0.3">
      <c r="A72" s="12" t="s">
        <v>37</v>
      </c>
      <c r="B72" s="32" t="s">
        <v>488</v>
      </c>
      <c r="C72" s="16">
        <v>45667</v>
      </c>
      <c r="D72" s="32" t="s">
        <v>814</v>
      </c>
      <c r="E72" s="12">
        <v>14.1</v>
      </c>
      <c r="F72" s="12">
        <v>13</v>
      </c>
      <c r="G72" s="12">
        <f t="shared" ref="G72" si="18">ROUND((F72 - E72) / E72 * 100, 2)</f>
        <v>-7.8</v>
      </c>
      <c r="H72" s="13" t="s">
        <v>763</v>
      </c>
      <c r="I72" s="13">
        <v>16.399999999999999</v>
      </c>
      <c r="J72" s="37" t="s">
        <v>774</v>
      </c>
      <c r="K72" s="13" t="s">
        <v>788</v>
      </c>
    </row>
    <row r="73" spans="1:12" s="12" customFormat="1" x14ac:dyDescent="0.3">
      <c r="A73" s="12" t="s">
        <v>33</v>
      </c>
      <c r="B73" s="32" t="s">
        <v>776</v>
      </c>
      <c r="C73" s="16">
        <v>45818</v>
      </c>
      <c r="D73" s="32" t="s">
        <v>814</v>
      </c>
      <c r="E73" s="12">
        <v>27.422000000000001</v>
      </c>
      <c r="F73" s="12">
        <v>26.05</v>
      </c>
      <c r="G73" s="12">
        <f t="shared" ref="G73" si="19">ROUND((F73 - E73) / E73 * 100, 2)</f>
        <v>-5</v>
      </c>
      <c r="H73" s="13" t="s">
        <v>767</v>
      </c>
      <c r="I73" s="13">
        <v>29.9</v>
      </c>
      <c r="J73" s="37" t="s">
        <v>784</v>
      </c>
      <c r="K73" s="13" t="s">
        <v>805</v>
      </c>
    </row>
    <row r="74" spans="1:12" s="12" customFormat="1" x14ac:dyDescent="0.3">
      <c r="A74" s="12" t="s">
        <v>33</v>
      </c>
      <c r="B74" s="32" t="s">
        <v>718</v>
      </c>
      <c r="C74" s="16" t="s">
        <v>759</v>
      </c>
      <c r="D74" s="32" t="s">
        <v>814</v>
      </c>
      <c r="E74" s="12">
        <v>34</v>
      </c>
      <c r="F74" s="12">
        <v>32.299999999999997</v>
      </c>
      <c r="G74" s="12">
        <f t="shared" ref="G74" si="20">ROUND((F74 - E74) / E74 * 100, 2)</f>
        <v>-5</v>
      </c>
      <c r="H74" s="13" t="s">
        <v>760</v>
      </c>
      <c r="I74" s="13">
        <v>40.6</v>
      </c>
      <c r="J74" s="37">
        <v>-5</v>
      </c>
      <c r="K74" s="13" t="s">
        <v>553</v>
      </c>
    </row>
    <row r="75" spans="1:12" s="12" customFormat="1" x14ac:dyDescent="0.3">
      <c r="A75" s="12" t="s">
        <v>12</v>
      </c>
      <c r="B75" s="32" t="s">
        <v>754</v>
      </c>
      <c r="C75" s="16" t="s">
        <v>753</v>
      </c>
      <c r="D75" s="32" t="s">
        <v>766</v>
      </c>
      <c r="E75" s="12">
        <v>15.061999999999999</v>
      </c>
      <c r="F75" s="12">
        <v>14.15</v>
      </c>
      <c r="G75" s="12">
        <f>ROUND((F75 - E75) / E75 * 100, 2)</f>
        <v>-6.05</v>
      </c>
      <c r="H75" s="13" t="s">
        <v>755</v>
      </c>
      <c r="I75" s="13"/>
      <c r="J75" s="37">
        <v>14.15</v>
      </c>
      <c r="K75" s="13" t="s">
        <v>765</v>
      </c>
    </row>
    <row r="76" spans="1:12" s="12" customFormat="1" x14ac:dyDescent="0.3">
      <c r="A76" s="12" t="s">
        <v>396</v>
      </c>
      <c r="B76" s="32" t="s">
        <v>488</v>
      </c>
      <c r="C76" s="16">
        <v>46000</v>
      </c>
      <c r="D76" s="16" t="s">
        <v>759</v>
      </c>
      <c r="E76" s="12">
        <v>24.37</v>
      </c>
      <c r="F76" s="12">
        <v>23.7</v>
      </c>
      <c r="G76" s="12">
        <f t="shared" ref="G76" si="21">ROUND((F76 - E76) / E76 * 100, 2)</f>
        <v>-2.75</v>
      </c>
      <c r="H76" s="13" t="s">
        <v>688</v>
      </c>
      <c r="I76" s="13"/>
      <c r="J76" s="37">
        <v>-5</v>
      </c>
      <c r="K76" s="13" t="s">
        <v>752</v>
      </c>
      <c r="L76" s="12" t="s">
        <v>694</v>
      </c>
    </row>
    <row r="77" spans="1:12" s="12" customFormat="1" x14ac:dyDescent="0.3">
      <c r="A77" s="12" t="s">
        <v>736</v>
      </c>
      <c r="B77" s="32" t="s">
        <v>528</v>
      </c>
      <c r="C77" s="16" t="s">
        <v>700</v>
      </c>
      <c r="D77" s="16" t="s">
        <v>759</v>
      </c>
      <c r="E77" s="12">
        <v>81.5</v>
      </c>
      <c r="F77" s="12">
        <v>79</v>
      </c>
      <c r="G77" s="12">
        <f t="shared" ref="G77:G83" si="22">ROUND((F77 - E77) / E77 * 100, 2)</f>
        <v>-3.07</v>
      </c>
      <c r="H77" s="13" t="s">
        <v>685</v>
      </c>
      <c r="I77" s="13">
        <v>87.7</v>
      </c>
      <c r="J77" s="37" t="s">
        <v>740</v>
      </c>
      <c r="K77" s="13" t="s">
        <v>746</v>
      </c>
    </row>
    <row r="78" spans="1:12" s="12" customFormat="1" x14ac:dyDescent="0.3">
      <c r="A78" s="12" t="s">
        <v>10</v>
      </c>
      <c r="B78" s="32" t="s">
        <v>731</v>
      </c>
      <c r="C78" s="16" t="s">
        <v>744</v>
      </c>
      <c r="D78" s="16" t="s">
        <v>759</v>
      </c>
      <c r="E78" s="12">
        <v>60.15</v>
      </c>
      <c r="F78" s="12">
        <v>57.1</v>
      </c>
      <c r="G78" s="12">
        <f t="shared" si="22"/>
        <v>-5.07</v>
      </c>
      <c r="H78" s="13" t="s">
        <v>748</v>
      </c>
      <c r="I78" s="13"/>
      <c r="J78" s="37">
        <v>-5</v>
      </c>
      <c r="K78" s="13" t="s">
        <v>752</v>
      </c>
    </row>
    <row r="79" spans="1:12" s="12" customFormat="1" x14ac:dyDescent="0.3">
      <c r="A79" s="12" t="s">
        <v>704</v>
      </c>
      <c r="B79" s="32" t="s">
        <v>737</v>
      </c>
      <c r="C79" s="16" t="s">
        <v>738</v>
      </c>
      <c r="D79" s="16" t="s">
        <v>759</v>
      </c>
      <c r="E79" s="12">
        <v>24.3</v>
      </c>
      <c r="F79" s="12">
        <v>23.1</v>
      </c>
      <c r="G79" s="12">
        <f t="shared" si="22"/>
        <v>-4.9400000000000004</v>
      </c>
      <c r="H79" s="13" t="s">
        <v>734</v>
      </c>
      <c r="I79" s="13"/>
      <c r="J79" s="37">
        <v>-5</v>
      </c>
      <c r="K79" s="13" t="s">
        <v>752</v>
      </c>
    </row>
    <row r="80" spans="1:12" s="12" customFormat="1" x14ac:dyDescent="0.3">
      <c r="A80" s="12" t="s">
        <v>743</v>
      </c>
      <c r="B80" s="32" t="s">
        <v>587</v>
      </c>
      <c r="C80" s="16" t="s">
        <v>716</v>
      </c>
      <c r="D80" s="16" t="s">
        <v>753</v>
      </c>
      <c r="E80" s="12">
        <v>105</v>
      </c>
      <c r="F80" s="12">
        <v>98.6</v>
      </c>
      <c r="G80" s="12">
        <f t="shared" si="22"/>
        <v>-6.1</v>
      </c>
      <c r="H80" s="13" t="s">
        <v>717</v>
      </c>
      <c r="I80" s="13"/>
      <c r="J80" s="37">
        <v>97.5</v>
      </c>
      <c r="K80" s="13" t="s">
        <v>733</v>
      </c>
    </row>
    <row r="81" spans="1:11" s="12" customFormat="1" x14ac:dyDescent="0.3">
      <c r="A81" s="12" t="s">
        <v>730</v>
      </c>
      <c r="B81" s="32" t="s">
        <v>718</v>
      </c>
      <c r="C81" s="16" t="s">
        <v>716</v>
      </c>
      <c r="D81" s="16" t="s">
        <v>738</v>
      </c>
      <c r="E81" s="12">
        <v>34.35</v>
      </c>
      <c r="F81" s="12">
        <v>32.700000000000003</v>
      </c>
      <c r="G81" s="12">
        <f t="shared" si="22"/>
        <v>-4.8</v>
      </c>
      <c r="H81" s="13" t="s">
        <v>717</v>
      </c>
      <c r="I81" s="13"/>
      <c r="J81" s="37">
        <v>32.15</v>
      </c>
      <c r="K81" s="13" t="s">
        <v>733</v>
      </c>
    </row>
    <row r="82" spans="1:11" s="12" customFormat="1" x14ac:dyDescent="0.3">
      <c r="A82" s="12" t="s">
        <v>406</v>
      </c>
      <c r="B82" s="32" t="s">
        <v>731</v>
      </c>
      <c r="C82" s="16" t="s">
        <v>716</v>
      </c>
      <c r="D82" s="16" t="s">
        <v>738</v>
      </c>
      <c r="E82" s="12">
        <v>61.4</v>
      </c>
      <c r="F82" s="12">
        <v>59.4</v>
      </c>
      <c r="G82" s="12">
        <f t="shared" si="22"/>
        <v>-3.26</v>
      </c>
      <c r="H82" s="13" t="s">
        <v>717</v>
      </c>
      <c r="I82" s="13"/>
      <c r="J82" s="37">
        <v>58.7</v>
      </c>
      <c r="K82" s="13" t="s">
        <v>733</v>
      </c>
    </row>
    <row r="83" spans="1:11" s="12" customFormat="1" ht="36" x14ac:dyDescent="0.3">
      <c r="A83" s="12" t="s">
        <v>586</v>
      </c>
      <c r="B83" s="32" t="s">
        <v>686</v>
      </c>
      <c r="C83" s="16">
        <v>45970</v>
      </c>
      <c r="D83" s="32"/>
      <c r="E83" s="12">
        <v>43.784999999999997</v>
      </c>
      <c r="F83" s="12">
        <v>41.6</v>
      </c>
      <c r="G83" s="12">
        <f t="shared" si="22"/>
        <v>-4.99</v>
      </c>
      <c r="H83" s="13" t="s">
        <v>693</v>
      </c>
      <c r="I83" s="13">
        <v>48.2</v>
      </c>
      <c r="J83" s="37">
        <v>-5</v>
      </c>
      <c r="K83" s="13" t="s">
        <v>719</v>
      </c>
    </row>
    <row r="84" spans="1:11" s="12" customFormat="1" x14ac:dyDescent="0.3">
      <c r="A84" s="12" t="s">
        <v>612</v>
      </c>
      <c r="B84" s="32" t="s">
        <v>489</v>
      </c>
      <c r="C84" s="16">
        <v>46000</v>
      </c>
      <c r="D84" s="32"/>
      <c r="E84" s="12">
        <v>24.02</v>
      </c>
      <c r="F84" s="12">
        <v>22.8</v>
      </c>
      <c r="G84" s="12">
        <f t="shared" ref="G84:G115" si="23">ROUND((F84 - E84) / E84 * 100, 2)</f>
        <v>-5.08</v>
      </c>
      <c r="H84" s="13" t="s">
        <v>698</v>
      </c>
      <c r="I84" s="13"/>
      <c r="J84" s="37">
        <v>-5</v>
      </c>
      <c r="K84" s="13" t="s">
        <v>720</v>
      </c>
    </row>
    <row r="85" spans="1:11" s="12" customFormat="1" x14ac:dyDescent="0.3">
      <c r="A85" s="12" t="s">
        <v>13</v>
      </c>
      <c r="B85" s="32" t="s">
        <v>489</v>
      </c>
      <c r="C85" s="16">
        <v>45970</v>
      </c>
      <c r="D85" s="32"/>
      <c r="E85" s="12">
        <v>23.12</v>
      </c>
      <c r="F85" s="12">
        <v>22.1</v>
      </c>
      <c r="G85" s="12">
        <f t="shared" si="23"/>
        <v>-4.41</v>
      </c>
      <c r="H85" s="13" t="s">
        <v>688</v>
      </c>
      <c r="I85" s="13">
        <v>25.8</v>
      </c>
      <c r="J85" s="37">
        <v>-5</v>
      </c>
      <c r="K85" s="13" t="s">
        <v>553</v>
      </c>
    </row>
    <row r="86" spans="1:11" s="12" customFormat="1" x14ac:dyDescent="0.3">
      <c r="A86" s="12" t="s">
        <v>34</v>
      </c>
      <c r="B86" s="32" t="s">
        <v>505</v>
      </c>
      <c r="C86" s="16">
        <v>45939</v>
      </c>
      <c r="D86" s="32"/>
      <c r="E86" s="12">
        <v>29.1</v>
      </c>
      <c r="F86" s="12">
        <v>28.25</v>
      </c>
      <c r="G86" s="12">
        <f t="shared" si="23"/>
        <v>-2.92</v>
      </c>
      <c r="H86" s="13" t="s">
        <v>685</v>
      </c>
      <c r="I86" s="13">
        <v>31.4</v>
      </c>
      <c r="J86" s="37">
        <v>28.25</v>
      </c>
      <c r="K86" s="13" t="s">
        <v>712</v>
      </c>
    </row>
    <row r="87" spans="1:11" s="12" customFormat="1" x14ac:dyDescent="0.3">
      <c r="A87" s="12" t="s">
        <v>687</v>
      </c>
      <c r="B87" s="32" t="s">
        <v>510</v>
      </c>
      <c r="C87" s="16">
        <v>45970</v>
      </c>
      <c r="D87" s="32"/>
      <c r="E87" s="12">
        <v>38.83</v>
      </c>
      <c r="F87" s="12">
        <v>36.9</v>
      </c>
      <c r="G87" s="12">
        <f t="shared" si="23"/>
        <v>-4.97</v>
      </c>
      <c r="H87" s="13" t="s">
        <v>688</v>
      </c>
      <c r="I87" s="13">
        <v>42.3</v>
      </c>
      <c r="J87" s="37">
        <v>-5</v>
      </c>
      <c r="K87" s="13" t="s">
        <v>553</v>
      </c>
    </row>
    <row r="88" spans="1:11" s="12" customFormat="1" ht="36" x14ac:dyDescent="0.3">
      <c r="A88" s="12" t="s">
        <v>54</v>
      </c>
      <c r="B88" s="32" t="s">
        <v>492</v>
      </c>
      <c r="C88" s="16">
        <v>45786</v>
      </c>
      <c r="D88" s="32"/>
      <c r="E88" s="12">
        <v>28.05</v>
      </c>
      <c r="F88" s="12">
        <v>25.75</v>
      </c>
      <c r="G88" s="12">
        <f t="shared" si="23"/>
        <v>-8.1999999999999993</v>
      </c>
      <c r="H88" s="13" t="s">
        <v>665</v>
      </c>
      <c r="I88" s="13"/>
      <c r="J88" s="37"/>
      <c r="K88" s="13" t="s">
        <v>669</v>
      </c>
    </row>
    <row r="89" spans="1:11" s="12" customFormat="1" x14ac:dyDescent="0.3">
      <c r="A89" s="12" t="s">
        <v>7</v>
      </c>
      <c r="B89" s="32" t="s">
        <v>489</v>
      </c>
      <c r="C89" s="12" t="s">
        <v>627</v>
      </c>
      <c r="D89" s="32"/>
      <c r="E89" s="12">
        <v>24.92</v>
      </c>
      <c r="F89" s="12">
        <v>23.7</v>
      </c>
      <c r="G89" s="12">
        <f t="shared" si="23"/>
        <v>-4.9000000000000004</v>
      </c>
      <c r="H89" s="13"/>
      <c r="I89" s="13"/>
      <c r="J89" s="37">
        <v>-5</v>
      </c>
      <c r="K89" s="13" t="s">
        <v>670</v>
      </c>
    </row>
    <row r="90" spans="1:11" s="12" customFormat="1" x14ac:dyDescent="0.3">
      <c r="A90" s="12" t="s">
        <v>664</v>
      </c>
      <c r="B90" s="32" t="s">
        <v>625</v>
      </c>
      <c r="C90" s="12" t="s">
        <v>623</v>
      </c>
      <c r="D90" s="32"/>
      <c r="E90" s="12">
        <v>50.741</v>
      </c>
      <c r="F90" s="12">
        <v>50.5</v>
      </c>
      <c r="G90" s="12">
        <f t="shared" si="23"/>
        <v>-0.47</v>
      </c>
      <c r="H90" s="13"/>
      <c r="I90" s="13">
        <v>58</v>
      </c>
      <c r="J90" s="37" t="s">
        <v>674</v>
      </c>
      <c r="K90" s="13" t="s">
        <v>461</v>
      </c>
    </row>
    <row r="91" spans="1:11" s="10" customFormat="1" x14ac:dyDescent="0.3">
      <c r="A91" s="12" t="s">
        <v>629</v>
      </c>
      <c r="B91" s="31" t="s">
        <v>620</v>
      </c>
      <c r="C91" s="10" t="s">
        <v>619</v>
      </c>
      <c r="D91" s="31"/>
      <c r="E91" s="10">
        <v>26.86</v>
      </c>
      <c r="F91" s="10">
        <v>32.200000000000003</v>
      </c>
      <c r="G91" s="10">
        <f t="shared" si="23"/>
        <v>19.88</v>
      </c>
      <c r="H91" s="7"/>
      <c r="I91" s="7">
        <v>38.5</v>
      </c>
      <c r="J91" s="38">
        <v>32.200000000000003</v>
      </c>
      <c r="K91" s="7" t="s">
        <v>668</v>
      </c>
    </row>
    <row r="92" spans="1:11" s="10" customFormat="1" ht="36" x14ac:dyDescent="0.3">
      <c r="A92" s="12" t="s">
        <v>624</v>
      </c>
      <c r="B92" s="31" t="s">
        <v>628</v>
      </c>
      <c r="C92" s="10" t="s">
        <v>627</v>
      </c>
      <c r="D92" s="31"/>
      <c r="E92" s="10">
        <v>23.27</v>
      </c>
      <c r="F92" s="10">
        <v>25</v>
      </c>
      <c r="G92" s="10">
        <f t="shared" si="23"/>
        <v>7.43</v>
      </c>
      <c r="H92" s="7"/>
      <c r="I92" s="7"/>
      <c r="J92" s="38">
        <v>25</v>
      </c>
      <c r="K92" s="7" t="s">
        <v>671</v>
      </c>
    </row>
    <row r="93" spans="1:11" s="12" customFormat="1" x14ac:dyDescent="0.3">
      <c r="A93" s="10" t="s">
        <v>24</v>
      </c>
      <c r="B93" s="32" t="s">
        <v>607</v>
      </c>
      <c r="C93" s="16" t="s">
        <v>605</v>
      </c>
      <c r="D93" s="32"/>
      <c r="E93" s="12">
        <v>16.263000000000002</v>
      </c>
      <c r="F93" s="12">
        <v>16.149999999999999</v>
      </c>
      <c r="G93" s="12">
        <f t="shared" si="23"/>
        <v>-0.69</v>
      </c>
      <c r="H93" s="13"/>
      <c r="I93" s="13"/>
      <c r="J93" s="37" t="s">
        <v>661</v>
      </c>
      <c r="K93" s="13" t="s">
        <v>635</v>
      </c>
    </row>
    <row r="94" spans="1:11" s="12" customFormat="1" x14ac:dyDescent="0.3">
      <c r="A94" s="10" t="s">
        <v>10</v>
      </c>
      <c r="B94" s="32" t="s">
        <v>510</v>
      </c>
      <c r="C94" s="12" t="s">
        <v>623</v>
      </c>
      <c r="D94" s="32"/>
      <c r="E94" s="12">
        <v>39</v>
      </c>
      <c r="F94" s="12">
        <v>39</v>
      </c>
      <c r="G94" s="12">
        <f t="shared" si="23"/>
        <v>0</v>
      </c>
      <c r="H94" s="13"/>
      <c r="I94" s="13">
        <v>45</v>
      </c>
      <c r="J94" s="37" t="s">
        <v>662</v>
      </c>
      <c r="K94" s="13" t="s">
        <v>636</v>
      </c>
    </row>
    <row r="95" spans="1:11" s="12" customFormat="1" x14ac:dyDescent="0.3">
      <c r="A95" s="12" t="s">
        <v>606</v>
      </c>
      <c r="B95" s="32" t="s">
        <v>625</v>
      </c>
      <c r="C95" s="12" t="s">
        <v>634</v>
      </c>
      <c r="D95" s="32"/>
      <c r="E95" s="12">
        <v>40.9</v>
      </c>
      <c r="F95" s="12">
        <v>38.9</v>
      </c>
      <c r="G95" s="12">
        <f t="shared" si="23"/>
        <v>-4.8899999999999997</v>
      </c>
      <c r="H95" s="13"/>
      <c r="I95" s="13"/>
      <c r="J95" s="37">
        <v>-5</v>
      </c>
      <c r="K95" s="13" t="s">
        <v>657</v>
      </c>
    </row>
    <row r="96" spans="1:11" s="10" customFormat="1" x14ac:dyDescent="0.3">
      <c r="A96" s="12" t="s">
        <v>396</v>
      </c>
      <c r="B96" s="31" t="s">
        <v>528</v>
      </c>
      <c r="C96" s="10" t="s">
        <v>619</v>
      </c>
      <c r="D96" s="31"/>
      <c r="E96" s="10">
        <v>62</v>
      </c>
      <c r="F96" s="10">
        <v>62.5</v>
      </c>
      <c r="G96" s="10">
        <f t="shared" si="23"/>
        <v>0.81</v>
      </c>
      <c r="H96" s="7"/>
      <c r="I96" s="7"/>
      <c r="J96" s="38">
        <v>-5</v>
      </c>
      <c r="K96" s="7" t="s">
        <v>631</v>
      </c>
    </row>
    <row r="97" spans="1:12" s="12" customFormat="1" x14ac:dyDescent="0.3">
      <c r="A97" s="12" t="s">
        <v>30</v>
      </c>
      <c r="B97" s="32" t="s">
        <v>620</v>
      </c>
      <c r="C97" s="12" t="s">
        <v>610</v>
      </c>
      <c r="D97" s="32"/>
      <c r="E97" s="12">
        <v>23.22</v>
      </c>
      <c r="F97" s="12">
        <v>21.85</v>
      </c>
      <c r="G97" s="12">
        <f t="shared" si="23"/>
        <v>-5.9</v>
      </c>
      <c r="H97" s="13"/>
      <c r="I97" s="13">
        <v>30.5</v>
      </c>
      <c r="J97" s="37">
        <v>22.4</v>
      </c>
      <c r="K97" s="13" t="s">
        <v>615</v>
      </c>
      <c r="L97" s="12" t="s">
        <v>618</v>
      </c>
    </row>
    <row r="98" spans="1:12" s="12" customFormat="1" x14ac:dyDescent="0.3">
      <c r="A98" s="10" t="s">
        <v>612</v>
      </c>
      <c r="B98" s="32" t="s">
        <v>621</v>
      </c>
      <c r="C98" s="12" t="s">
        <v>610</v>
      </c>
      <c r="D98" s="32"/>
      <c r="E98" s="12">
        <v>23.22</v>
      </c>
      <c r="F98" s="12">
        <v>22.4</v>
      </c>
      <c r="G98" s="12">
        <f t="shared" si="23"/>
        <v>-3.53</v>
      </c>
      <c r="H98" s="13"/>
      <c r="I98" s="13">
        <v>30.5</v>
      </c>
      <c r="J98" s="37">
        <v>22.4</v>
      </c>
      <c r="K98" s="13" t="s">
        <v>615</v>
      </c>
      <c r="L98" s="12" t="s">
        <v>618</v>
      </c>
    </row>
    <row r="99" spans="1:12" s="12" customFormat="1" x14ac:dyDescent="0.3">
      <c r="A99" s="12" t="s">
        <v>10</v>
      </c>
      <c r="B99" s="32" t="s">
        <v>580</v>
      </c>
      <c r="C99" s="16">
        <v>45755</v>
      </c>
      <c r="D99" s="32"/>
      <c r="E99" s="12">
        <v>8.0359999999999996</v>
      </c>
      <c r="F99" s="12">
        <v>7.6</v>
      </c>
      <c r="G99" s="12">
        <f t="shared" si="23"/>
        <v>-5.43</v>
      </c>
      <c r="H99" s="13"/>
      <c r="I99" s="13">
        <v>9.5</v>
      </c>
      <c r="J99" s="37">
        <v>-5</v>
      </c>
      <c r="K99" s="13" t="s">
        <v>611</v>
      </c>
    </row>
    <row r="100" spans="1:12" s="10" customFormat="1" x14ac:dyDescent="0.3">
      <c r="A100" s="12" t="s">
        <v>10</v>
      </c>
      <c r="B100" s="31" t="s">
        <v>529</v>
      </c>
      <c r="C100" s="10" t="s">
        <v>519</v>
      </c>
      <c r="D100" s="31"/>
      <c r="E100" s="10">
        <v>11.573</v>
      </c>
      <c r="F100" s="10">
        <v>15.2</v>
      </c>
      <c r="G100" s="10">
        <f t="shared" si="23"/>
        <v>31.34</v>
      </c>
      <c r="H100" s="7"/>
      <c r="I100" s="7">
        <v>15.2</v>
      </c>
      <c r="J100" s="38">
        <v>12.3</v>
      </c>
      <c r="K100" s="7" t="s">
        <v>609</v>
      </c>
      <c r="L100" s="10" t="s">
        <v>562</v>
      </c>
    </row>
    <row r="101" spans="1:12" s="10" customFormat="1" x14ac:dyDescent="0.3">
      <c r="A101" s="12" t="s">
        <v>550</v>
      </c>
      <c r="B101" s="31" t="s">
        <v>520</v>
      </c>
      <c r="C101" s="15" t="s">
        <v>519</v>
      </c>
      <c r="D101" s="31"/>
      <c r="E101" s="10">
        <v>11.464</v>
      </c>
      <c r="F101" s="10">
        <v>14.75</v>
      </c>
      <c r="G101" s="10">
        <f t="shared" si="23"/>
        <v>28.66</v>
      </c>
      <c r="H101" s="7"/>
      <c r="I101" s="7">
        <v>17.55</v>
      </c>
      <c r="J101" s="38" t="s">
        <v>592</v>
      </c>
      <c r="K101" s="7" t="s">
        <v>590</v>
      </c>
    </row>
    <row r="102" spans="1:12" s="12" customFormat="1" x14ac:dyDescent="0.3">
      <c r="A102" s="10" t="s">
        <v>37</v>
      </c>
      <c r="B102" s="32" t="s">
        <v>587</v>
      </c>
      <c r="C102" s="16">
        <v>45999</v>
      </c>
      <c r="D102" s="32"/>
      <c r="E102" s="12">
        <v>37.18</v>
      </c>
      <c r="F102" s="12">
        <v>35.299999999999997</v>
      </c>
      <c r="G102" s="12">
        <f t="shared" si="23"/>
        <v>-5.0599999999999996</v>
      </c>
      <c r="H102" s="13"/>
      <c r="I102" s="13"/>
      <c r="J102" s="37">
        <v>-5</v>
      </c>
      <c r="K102" s="13" t="s">
        <v>594</v>
      </c>
    </row>
    <row r="103" spans="1:12" s="10" customFormat="1" x14ac:dyDescent="0.3">
      <c r="A103" s="10" t="s">
        <v>33</v>
      </c>
      <c r="B103" s="31" t="s">
        <v>493</v>
      </c>
      <c r="C103" s="15" t="s">
        <v>458</v>
      </c>
      <c r="D103" s="31"/>
      <c r="E103" s="10">
        <v>18.5</v>
      </c>
      <c r="F103" s="10">
        <v>19.899999999999999</v>
      </c>
      <c r="G103" s="10">
        <f t="shared" si="23"/>
        <v>7.57</v>
      </c>
      <c r="H103" s="7"/>
      <c r="I103" s="7">
        <v>32</v>
      </c>
      <c r="J103" s="38" t="s">
        <v>597</v>
      </c>
      <c r="K103" s="7" t="s">
        <v>598</v>
      </c>
    </row>
    <row r="104" spans="1:12" s="10" customFormat="1" x14ac:dyDescent="0.3">
      <c r="A104" s="12" t="s">
        <v>586</v>
      </c>
      <c r="B104" s="31" t="s">
        <v>533</v>
      </c>
      <c r="C104" s="15">
        <v>45785</v>
      </c>
      <c r="D104" s="31"/>
      <c r="E104" s="10">
        <v>27.071999999999999</v>
      </c>
      <c r="F104" s="10">
        <v>29</v>
      </c>
      <c r="G104" s="10">
        <f t="shared" si="23"/>
        <v>7.12</v>
      </c>
      <c r="H104" s="7"/>
      <c r="I104" s="7">
        <v>29</v>
      </c>
      <c r="J104" s="38">
        <v>-5</v>
      </c>
      <c r="K104" s="7" t="s">
        <v>576</v>
      </c>
    </row>
    <row r="105" spans="1:12" s="12" customFormat="1" x14ac:dyDescent="0.3">
      <c r="A105" s="10" t="s">
        <v>460</v>
      </c>
      <c r="B105" s="32" t="s">
        <v>510</v>
      </c>
      <c r="C105" s="12" t="s">
        <v>549</v>
      </c>
      <c r="D105" s="32"/>
      <c r="E105" s="12">
        <v>44</v>
      </c>
      <c r="F105" s="12">
        <v>40.5</v>
      </c>
      <c r="G105" s="12">
        <f t="shared" si="23"/>
        <v>-7.95</v>
      </c>
      <c r="H105" s="13"/>
      <c r="I105" s="13"/>
      <c r="J105" s="37">
        <v>40.5</v>
      </c>
      <c r="K105" s="13" t="s">
        <v>567</v>
      </c>
    </row>
    <row r="106" spans="1:12" s="12" customFormat="1" x14ac:dyDescent="0.3">
      <c r="A106" s="10" t="s">
        <v>572</v>
      </c>
      <c r="B106" s="32" t="s">
        <v>545</v>
      </c>
      <c r="C106" s="12" t="s">
        <v>544</v>
      </c>
      <c r="D106" s="32"/>
      <c r="E106" s="12">
        <v>77.400000000000006</v>
      </c>
      <c r="F106" s="12">
        <v>72.5</v>
      </c>
      <c r="G106" s="12">
        <f t="shared" si="23"/>
        <v>-6.33</v>
      </c>
      <c r="H106" s="13"/>
      <c r="I106" s="13"/>
      <c r="J106" s="37">
        <v>72.5</v>
      </c>
      <c r="K106" s="13" t="s">
        <v>556</v>
      </c>
    </row>
    <row r="107" spans="1:12" s="10" customFormat="1" ht="36" x14ac:dyDescent="0.3">
      <c r="A107" s="12" t="s">
        <v>30</v>
      </c>
      <c r="B107" s="31" t="s">
        <v>492</v>
      </c>
      <c r="C107" s="15" t="s">
        <v>453</v>
      </c>
      <c r="D107" s="31"/>
      <c r="E107" s="10">
        <v>102.35</v>
      </c>
      <c r="F107" s="10">
        <v>105.8</v>
      </c>
      <c r="G107" s="10">
        <f t="shared" si="23"/>
        <v>3.37</v>
      </c>
      <c r="H107" s="7"/>
      <c r="I107" s="7"/>
      <c r="J107" s="38">
        <v>104</v>
      </c>
      <c r="K107" s="7" t="s">
        <v>552</v>
      </c>
      <c r="L107" s="7" t="s">
        <v>555</v>
      </c>
    </row>
    <row r="108" spans="1:12" s="12" customFormat="1" x14ac:dyDescent="0.3">
      <c r="A108" s="12" t="s">
        <v>464</v>
      </c>
      <c r="B108" s="32" t="s">
        <v>533</v>
      </c>
      <c r="C108" s="12" t="s">
        <v>532</v>
      </c>
      <c r="D108" s="32"/>
      <c r="E108" s="12">
        <v>80</v>
      </c>
      <c r="F108" s="12">
        <v>71</v>
      </c>
      <c r="G108" s="12">
        <f t="shared" si="23"/>
        <v>-11.25</v>
      </c>
      <c r="H108" s="13"/>
      <c r="I108" s="13"/>
      <c r="J108" s="37">
        <v>71</v>
      </c>
      <c r="K108" s="13" t="s">
        <v>554</v>
      </c>
      <c r="L108" s="12" t="s">
        <v>559</v>
      </c>
    </row>
    <row r="109" spans="1:12" s="12" customFormat="1" x14ac:dyDescent="0.3">
      <c r="A109" s="10" t="s">
        <v>19</v>
      </c>
      <c r="B109" s="32" t="s">
        <v>528</v>
      </c>
      <c r="C109" s="12" t="s">
        <v>526</v>
      </c>
      <c r="D109" s="32"/>
      <c r="E109" s="12">
        <v>39.731999999999999</v>
      </c>
      <c r="F109" s="12">
        <v>37.700000000000003</v>
      </c>
      <c r="G109" s="12">
        <f t="shared" si="23"/>
        <v>-5.1100000000000003</v>
      </c>
      <c r="H109" s="13"/>
      <c r="I109" s="13"/>
      <c r="J109" s="37">
        <v>-5</v>
      </c>
      <c r="K109" s="13" t="s">
        <v>553</v>
      </c>
    </row>
    <row r="110" spans="1:12" s="12" customFormat="1" ht="36" x14ac:dyDescent="0.3">
      <c r="A110" s="12" t="s">
        <v>531</v>
      </c>
      <c r="B110" s="32" t="s">
        <v>492</v>
      </c>
      <c r="C110" s="12" t="s">
        <v>519</v>
      </c>
      <c r="D110" s="32"/>
      <c r="E110" s="12">
        <v>128.1</v>
      </c>
      <c r="F110" s="12">
        <v>119</v>
      </c>
      <c r="G110" s="12">
        <f t="shared" si="23"/>
        <v>-7.1</v>
      </c>
      <c r="H110" s="13"/>
      <c r="I110" s="13"/>
      <c r="J110" s="37">
        <v>119</v>
      </c>
      <c r="K110" s="13" t="s">
        <v>543</v>
      </c>
    </row>
    <row r="111" spans="1:12" s="12" customFormat="1" x14ac:dyDescent="0.3">
      <c r="A111" s="12" t="s">
        <v>527</v>
      </c>
      <c r="B111" s="32" t="s">
        <v>505</v>
      </c>
      <c r="C111" s="16">
        <v>45937</v>
      </c>
      <c r="D111" s="32"/>
      <c r="E111" s="12">
        <v>20.77</v>
      </c>
      <c r="F111" s="12">
        <v>20.55</v>
      </c>
      <c r="G111" s="12">
        <f t="shared" si="23"/>
        <v>-1.06</v>
      </c>
      <c r="H111" s="13" t="s">
        <v>518</v>
      </c>
      <c r="I111" s="13">
        <v>22.25</v>
      </c>
      <c r="J111" s="37">
        <v>-5</v>
      </c>
      <c r="K111" s="13" t="s">
        <v>482</v>
      </c>
      <c r="L111" s="12" t="s">
        <v>506</v>
      </c>
    </row>
    <row r="112" spans="1:12" s="10" customFormat="1" ht="54" x14ac:dyDescent="0.3">
      <c r="A112" s="12" t="s">
        <v>406</v>
      </c>
      <c r="B112" s="31">
        <v>4200</v>
      </c>
      <c r="C112" s="15" t="s">
        <v>115</v>
      </c>
      <c r="D112" s="31"/>
      <c r="E112" s="10">
        <v>15.4</v>
      </c>
      <c r="F112" s="10">
        <v>20</v>
      </c>
      <c r="G112" s="10">
        <f t="shared" si="23"/>
        <v>29.87</v>
      </c>
      <c r="H112" s="7" t="s">
        <v>516</v>
      </c>
      <c r="I112" s="7">
        <v>19.899999999999999</v>
      </c>
      <c r="J112" s="38" t="s">
        <v>522</v>
      </c>
      <c r="K112" s="7" t="s">
        <v>524</v>
      </c>
      <c r="L112" s="7" t="s">
        <v>457</v>
      </c>
    </row>
    <row r="113" spans="1:12" s="10" customFormat="1" x14ac:dyDescent="0.3">
      <c r="A113" s="12" t="s">
        <v>34</v>
      </c>
      <c r="B113" s="31" t="s">
        <v>489</v>
      </c>
      <c r="C113" s="15">
        <v>45967</v>
      </c>
      <c r="D113" s="31"/>
      <c r="E113" s="10">
        <v>15.871</v>
      </c>
      <c r="F113" s="10">
        <v>18.8</v>
      </c>
      <c r="G113" s="10">
        <f t="shared" si="23"/>
        <v>18.46</v>
      </c>
      <c r="H113" s="7"/>
      <c r="I113" s="7">
        <v>18.8</v>
      </c>
      <c r="J113" s="38">
        <v>16.649999999999999</v>
      </c>
      <c r="K113" s="7" t="s">
        <v>480</v>
      </c>
    </row>
    <row r="114" spans="1:12" s="10" customFormat="1" x14ac:dyDescent="0.3">
      <c r="A114" s="10" t="s">
        <v>10</v>
      </c>
      <c r="B114" s="31" t="s">
        <v>488</v>
      </c>
      <c r="C114" s="15">
        <v>45967</v>
      </c>
      <c r="D114" s="31"/>
      <c r="E114" s="10">
        <v>14.074999999999999</v>
      </c>
      <c r="F114" s="10">
        <v>15</v>
      </c>
      <c r="G114" s="10">
        <f t="shared" si="23"/>
        <v>6.57</v>
      </c>
      <c r="H114" s="7"/>
      <c r="I114" s="7">
        <v>17.5</v>
      </c>
      <c r="J114" s="38" t="s">
        <v>513</v>
      </c>
      <c r="K114" s="7" t="s">
        <v>507</v>
      </c>
    </row>
    <row r="115" spans="1:12" s="10" customFormat="1" x14ac:dyDescent="0.3">
      <c r="A115" s="10" t="s">
        <v>420</v>
      </c>
      <c r="B115" s="31" t="s">
        <v>491</v>
      </c>
      <c r="C115" s="15">
        <v>45997</v>
      </c>
      <c r="D115" s="31"/>
      <c r="E115" s="10">
        <v>18.215</v>
      </c>
      <c r="F115" s="10">
        <v>20.3</v>
      </c>
      <c r="G115" s="10">
        <f t="shared" si="23"/>
        <v>11.45</v>
      </c>
      <c r="H115" s="7"/>
      <c r="I115" s="7">
        <v>20.3</v>
      </c>
      <c r="J115" s="38" t="s">
        <v>494</v>
      </c>
      <c r="K115" s="7" t="s">
        <v>496</v>
      </c>
    </row>
    <row r="116" spans="1:12" s="10" customFormat="1" x14ac:dyDescent="0.3">
      <c r="A116" s="10" t="s">
        <v>1</v>
      </c>
      <c r="B116" s="31" t="s">
        <v>490</v>
      </c>
      <c r="C116" s="15">
        <v>45936</v>
      </c>
      <c r="D116" s="31"/>
      <c r="E116" s="10">
        <v>10.909000000000001</v>
      </c>
      <c r="F116" s="10">
        <v>12.75</v>
      </c>
      <c r="G116" s="10">
        <f t="shared" ref="G116:G147" si="24">ROUND((F116 - E116) / E116 * 100, 2)</f>
        <v>16.88</v>
      </c>
      <c r="H116" s="7"/>
      <c r="I116" s="7">
        <v>12.75</v>
      </c>
      <c r="J116" s="38">
        <v>11.6</v>
      </c>
      <c r="K116" s="7" t="s">
        <v>481</v>
      </c>
    </row>
    <row r="117" spans="1:12" s="10" customFormat="1" x14ac:dyDescent="0.3">
      <c r="A117" s="10" t="s">
        <v>24</v>
      </c>
      <c r="B117" s="31" t="s">
        <v>492</v>
      </c>
      <c r="C117" s="15" t="s">
        <v>465</v>
      </c>
      <c r="D117" s="31"/>
      <c r="E117" s="10">
        <v>35.979999999999997</v>
      </c>
      <c r="F117" s="10">
        <v>38.299999999999997</v>
      </c>
      <c r="G117" s="10">
        <f t="shared" si="24"/>
        <v>6.45</v>
      </c>
      <c r="H117" s="7" t="s">
        <v>498</v>
      </c>
      <c r="I117" s="7">
        <v>38.299999999999997</v>
      </c>
      <c r="J117" s="38" t="s">
        <v>478</v>
      </c>
      <c r="K117" s="7" t="s">
        <v>497</v>
      </c>
    </row>
    <row r="118" spans="1:12" s="10" customFormat="1" x14ac:dyDescent="0.3">
      <c r="A118" s="10" t="s">
        <v>37</v>
      </c>
      <c r="B118" s="31" t="s">
        <v>510</v>
      </c>
      <c r="C118" s="15">
        <v>45936</v>
      </c>
      <c r="D118" s="31"/>
      <c r="E118" s="10">
        <v>22.350999999999999</v>
      </c>
      <c r="F118" s="10">
        <v>23.4</v>
      </c>
      <c r="G118" s="10">
        <f t="shared" si="24"/>
        <v>4.6900000000000004</v>
      </c>
      <c r="H118" s="7"/>
      <c r="I118" s="7">
        <v>23.4</v>
      </c>
      <c r="J118" s="38"/>
      <c r="K118" s="7" t="s">
        <v>441</v>
      </c>
      <c r="L118" s="10" t="s">
        <v>473</v>
      </c>
    </row>
    <row r="119" spans="1:12" s="12" customFormat="1" x14ac:dyDescent="0.3">
      <c r="A119" s="10" t="s">
        <v>463</v>
      </c>
      <c r="B119" s="32"/>
      <c r="C119" s="16" t="s">
        <v>429</v>
      </c>
      <c r="D119" s="32"/>
      <c r="E119" s="12">
        <v>20.48</v>
      </c>
      <c r="F119" s="12">
        <v>19.95</v>
      </c>
      <c r="G119" s="12">
        <f t="shared" si="24"/>
        <v>-2.59</v>
      </c>
      <c r="H119" s="13"/>
      <c r="I119" s="13">
        <v>22.75</v>
      </c>
      <c r="J119" s="37">
        <v>-5</v>
      </c>
      <c r="K119" s="13" t="s">
        <v>461</v>
      </c>
      <c r="L119" s="12" t="s">
        <v>466</v>
      </c>
    </row>
    <row r="120" spans="1:12" s="12" customFormat="1" x14ac:dyDescent="0.3">
      <c r="A120" s="10" t="s">
        <v>422</v>
      </c>
      <c r="B120" s="32"/>
      <c r="C120" s="16">
        <v>45967</v>
      </c>
      <c r="D120" s="32"/>
      <c r="E120" s="12">
        <v>14.361000000000001</v>
      </c>
      <c r="F120" s="12">
        <v>14.25</v>
      </c>
      <c r="G120" s="12">
        <f t="shared" si="24"/>
        <v>-0.77</v>
      </c>
      <c r="H120" s="13"/>
      <c r="I120" s="13">
        <v>17</v>
      </c>
      <c r="J120" s="37" t="s">
        <v>456</v>
      </c>
      <c r="K120" s="13" t="s">
        <v>455</v>
      </c>
      <c r="L120" s="12" t="s">
        <v>459</v>
      </c>
    </row>
    <row r="121" spans="1:12" s="10" customFormat="1" x14ac:dyDescent="0.3">
      <c r="A121" s="12" t="s">
        <v>34</v>
      </c>
      <c r="B121" s="31"/>
      <c r="C121" s="15">
        <v>45967</v>
      </c>
      <c r="D121" s="31"/>
      <c r="E121" s="10">
        <v>34.1</v>
      </c>
      <c r="F121" s="10">
        <v>37.1</v>
      </c>
      <c r="G121" s="10">
        <f t="shared" si="24"/>
        <v>8.8000000000000007</v>
      </c>
      <c r="H121" s="7"/>
      <c r="I121" s="7">
        <v>37.1</v>
      </c>
      <c r="J121" s="38" t="s">
        <v>443</v>
      </c>
      <c r="K121" s="7" t="s">
        <v>450</v>
      </c>
    </row>
    <row r="122" spans="1:12" s="10" customFormat="1" x14ac:dyDescent="0.3">
      <c r="A122" s="12" t="s">
        <v>32</v>
      </c>
      <c r="B122" s="31"/>
      <c r="C122" s="15">
        <v>45722</v>
      </c>
      <c r="D122" s="31"/>
      <c r="E122" s="10">
        <v>34.4</v>
      </c>
      <c r="F122" s="10">
        <v>39.15</v>
      </c>
      <c r="G122" s="10">
        <f t="shared" si="24"/>
        <v>13.81</v>
      </c>
      <c r="H122" s="7" t="s">
        <v>399</v>
      </c>
      <c r="I122" s="7">
        <v>38.799999999999997</v>
      </c>
      <c r="J122" s="38" t="s">
        <v>415</v>
      </c>
      <c r="K122" s="7" t="s">
        <v>419</v>
      </c>
    </row>
    <row r="123" spans="1:12" s="12" customFormat="1" x14ac:dyDescent="0.3">
      <c r="A123" s="10" t="s">
        <v>22</v>
      </c>
      <c r="B123" s="32"/>
      <c r="C123" s="16">
        <v>45722</v>
      </c>
      <c r="D123" s="32"/>
      <c r="E123" s="12">
        <v>55.844999999999999</v>
      </c>
      <c r="F123" s="12">
        <v>55.1</v>
      </c>
      <c r="G123" s="12">
        <f t="shared" si="24"/>
        <v>-1.33</v>
      </c>
      <c r="H123" s="13"/>
      <c r="I123" s="13">
        <v>60.6</v>
      </c>
      <c r="J123" s="37" t="s">
        <v>416</v>
      </c>
      <c r="K123" s="13" t="s">
        <v>414</v>
      </c>
    </row>
    <row r="124" spans="1:12" s="12" customFormat="1" x14ac:dyDescent="0.3">
      <c r="A124" s="10" t="s">
        <v>13</v>
      </c>
      <c r="B124" s="32"/>
      <c r="C124" s="16" t="s">
        <v>117</v>
      </c>
      <c r="D124" s="32"/>
      <c r="E124" s="12">
        <v>14.114000000000001</v>
      </c>
      <c r="F124" s="12">
        <v>14</v>
      </c>
      <c r="G124" s="12">
        <f t="shared" si="24"/>
        <v>-0.81</v>
      </c>
      <c r="H124" s="13" t="s">
        <v>118</v>
      </c>
      <c r="I124" s="13">
        <v>16.2</v>
      </c>
      <c r="J124" s="37" t="s">
        <v>417</v>
      </c>
      <c r="K124" s="13" t="s">
        <v>408</v>
      </c>
    </row>
    <row r="125" spans="1:12" s="10" customFormat="1" ht="36" x14ac:dyDescent="0.3">
      <c r="A125" s="12" t="s">
        <v>21</v>
      </c>
      <c r="B125" s="31"/>
      <c r="C125" s="15">
        <v>45965</v>
      </c>
      <c r="D125" s="31"/>
      <c r="E125" s="10">
        <v>23.4</v>
      </c>
      <c r="F125" s="10">
        <v>35.15</v>
      </c>
      <c r="G125" s="10">
        <f t="shared" si="24"/>
        <v>50.21</v>
      </c>
      <c r="H125" s="7" t="s">
        <v>116</v>
      </c>
      <c r="I125" s="7">
        <v>38.200000000000003</v>
      </c>
      <c r="J125" s="38">
        <v>35.15</v>
      </c>
      <c r="K125" s="7" t="s">
        <v>412</v>
      </c>
    </row>
    <row r="126" spans="1:12" s="10" customFormat="1" x14ac:dyDescent="0.3">
      <c r="A126" s="12" t="s">
        <v>32</v>
      </c>
      <c r="B126" s="31"/>
      <c r="C126" s="15" t="s">
        <v>100</v>
      </c>
      <c r="D126" s="31"/>
      <c r="E126" s="10">
        <v>22</v>
      </c>
      <c r="F126" s="10">
        <v>25.4</v>
      </c>
      <c r="G126" s="10">
        <f t="shared" si="24"/>
        <v>15.45</v>
      </c>
      <c r="H126" s="7" t="s">
        <v>124</v>
      </c>
      <c r="I126" s="7" t="s">
        <v>395</v>
      </c>
      <c r="J126" s="38">
        <v>25.4</v>
      </c>
      <c r="K126" s="7" t="s">
        <v>413</v>
      </c>
    </row>
    <row r="127" spans="1:12" s="12" customFormat="1" x14ac:dyDescent="0.3">
      <c r="A127" s="10" t="s">
        <v>22</v>
      </c>
      <c r="B127" s="32"/>
      <c r="C127" s="16">
        <v>45722</v>
      </c>
      <c r="D127" s="32"/>
      <c r="E127" s="12">
        <v>28.623000000000001</v>
      </c>
      <c r="F127" s="12">
        <v>27.2</v>
      </c>
      <c r="G127" s="12">
        <f t="shared" si="24"/>
        <v>-4.97</v>
      </c>
      <c r="H127" s="13" t="s">
        <v>400</v>
      </c>
      <c r="I127" s="13">
        <v>31.1</v>
      </c>
      <c r="J127" s="37">
        <v>-5</v>
      </c>
      <c r="K127" s="13" t="s">
        <v>409</v>
      </c>
    </row>
    <row r="128" spans="1:12" s="10" customFormat="1" x14ac:dyDescent="0.3">
      <c r="A128" s="10" t="s">
        <v>7</v>
      </c>
      <c r="B128" s="31"/>
      <c r="C128" s="15">
        <v>45874</v>
      </c>
      <c r="D128" s="31"/>
      <c r="E128" s="10">
        <v>12.45</v>
      </c>
      <c r="F128" s="10">
        <v>13.6</v>
      </c>
      <c r="G128" s="10">
        <f t="shared" si="24"/>
        <v>9.24</v>
      </c>
      <c r="H128" s="7" t="s">
        <v>125</v>
      </c>
      <c r="I128" s="7">
        <v>13.65</v>
      </c>
      <c r="J128" s="38">
        <v>5</v>
      </c>
      <c r="K128" s="7" t="s">
        <v>123</v>
      </c>
    </row>
    <row r="129" spans="1:11" s="10" customFormat="1" x14ac:dyDescent="0.3">
      <c r="A129" s="12" t="s">
        <v>396</v>
      </c>
      <c r="B129" s="31"/>
      <c r="C129" s="15" t="s">
        <v>103</v>
      </c>
      <c r="D129" s="31"/>
      <c r="E129" s="10">
        <v>21.4</v>
      </c>
      <c r="F129" s="10">
        <v>21.55</v>
      </c>
      <c r="G129" s="10">
        <f t="shared" si="24"/>
        <v>0.7</v>
      </c>
      <c r="H129" s="7" t="s">
        <v>110</v>
      </c>
      <c r="I129" s="7">
        <v>23</v>
      </c>
      <c r="J129" s="38">
        <v>5</v>
      </c>
      <c r="K129" s="7" t="s">
        <v>129</v>
      </c>
    </row>
    <row r="130" spans="1:11" s="12" customFormat="1" x14ac:dyDescent="0.3">
      <c r="A130" s="10" t="s">
        <v>107</v>
      </c>
      <c r="B130" s="32"/>
      <c r="C130" s="16" t="s">
        <v>121</v>
      </c>
      <c r="D130" s="32"/>
      <c r="E130" s="12">
        <v>13.411</v>
      </c>
      <c r="F130" s="12">
        <v>13.1</v>
      </c>
      <c r="G130" s="12">
        <f t="shared" si="24"/>
        <v>-2.3199999999999998</v>
      </c>
      <c r="H130" s="13" t="s">
        <v>122</v>
      </c>
      <c r="I130" s="13"/>
      <c r="J130" s="37"/>
      <c r="K130" s="13" t="s">
        <v>130</v>
      </c>
    </row>
    <row r="131" spans="1:11" s="10" customFormat="1" ht="36" x14ac:dyDescent="0.3">
      <c r="A131" s="10" t="s">
        <v>102</v>
      </c>
      <c r="B131" s="31"/>
      <c r="C131" s="15">
        <v>45965</v>
      </c>
      <c r="D131" s="31"/>
      <c r="E131" s="10">
        <v>4.16</v>
      </c>
      <c r="F131" s="10">
        <v>4.4800000000000004</v>
      </c>
      <c r="G131" s="10">
        <f t="shared" si="24"/>
        <v>7.69</v>
      </c>
      <c r="H131" s="7" t="s">
        <v>109</v>
      </c>
      <c r="I131" s="7">
        <v>4.5</v>
      </c>
      <c r="J131" s="38">
        <v>5</v>
      </c>
      <c r="K131" s="7" t="s">
        <v>127</v>
      </c>
    </row>
    <row r="132" spans="1:11" s="10" customFormat="1" x14ac:dyDescent="0.3">
      <c r="A132" s="12" t="s">
        <v>29</v>
      </c>
      <c r="B132" s="31"/>
      <c r="C132" s="15">
        <v>45905</v>
      </c>
      <c r="D132" s="31"/>
      <c r="E132" s="10">
        <v>34.94</v>
      </c>
      <c r="F132" s="10">
        <v>38.200000000000003</v>
      </c>
      <c r="G132" s="10">
        <f t="shared" si="24"/>
        <v>9.33</v>
      </c>
      <c r="H132" s="7" t="s">
        <v>111</v>
      </c>
      <c r="I132" s="7">
        <v>38.200000000000003</v>
      </c>
      <c r="J132" s="38">
        <v>5</v>
      </c>
      <c r="K132" s="7" t="s">
        <v>128</v>
      </c>
    </row>
    <row r="133" spans="1:11" s="10" customFormat="1" x14ac:dyDescent="0.3">
      <c r="A133" s="10" t="s">
        <v>41</v>
      </c>
      <c r="B133" s="31"/>
      <c r="C133" s="15">
        <v>45782</v>
      </c>
      <c r="D133" s="31"/>
      <c r="E133" s="10">
        <v>21.67</v>
      </c>
      <c r="F133" s="10">
        <v>22.45</v>
      </c>
      <c r="G133" s="10">
        <f t="shared" si="24"/>
        <v>3.6</v>
      </c>
      <c r="H133" s="7"/>
      <c r="I133" s="7">
        <v>22.7</v>
      </c>
      <c r="J133" s="38">
        <v>5</v>
      </c>
      <c r="K133" s="7" t="s">
        <v>120</v>
      </c>
    </row>
    <row r="134" spans="1:11" s="10" customFormat="1" x14ac:dyDescent="0.3">
      <c r="A134" s="10" t="s">
        <v>30</v>
      </c>
      <c r="B134" s="31"/>
      <c r="C134" s="15">
        <v>45813</v>
      </c>
      <c r="D134" s="31"/>
      <c r="E134" s="10">
        <v>27.45</v>
      </c>
      <c r="F134" s="10">
        <v>29.4</v>
      </c>
      <c r="G134" s="10">
        <f t="shared" si="24"/>
        <v>7.1</v>
      </c>
      <c r="H134" s="7" t="s">
        <v>108</v>
      </c>
      <c r="I134" s="7"/>
      <c r="J134" s="38">
        <v>5</v>
      </c>
      <c r="K134" s="7" t="s">
        <v>119</v>
      </c>
    </row>
    <row r="135" spans="1:11" s="10" customFormat="1" ht="36" x14ac:dyDescent="0.3">
      <c r="A135" s="10" t="s">
        <v>104</v>
      </c>
      <c r="B135" s="31"/>
      <c r="C135" s="15" t="s">
        <v>100</v>
      </c>
      <c r="D135" s="31"/>
      <c r="E135" s="10">
        <v>11.3</v>
      </c>
      <c r="F135" s="10">
        <v>12.6</v>
      </c>
      <c r="G135" s="10">
        <f t="shared" si="24"/>
        <v>11.5</v>
      </c>
      <c r="H135" s="7" t="s">
        <v>106</v>
      </c>
      <c r="I135" s="7"/>
      <c r="J135" s="38"/>
      <c r="K135" s="7" t="s">
        <v>114</v>
      </c>
    </row>
    <row r="136" spans="1:11" s="12" customFormat="1" x14ac:dyDescent="0.3">
      <c r="A136" s="10" t="s">
        <v>105</v>
      </c>
      <c r="B136" s="32"/>
      <c r="C136" s="16">
        <v>45905</v>
      </c>
      <c r="D136" s="32"/>
      <c r="E136" s="12">
        <v>92.4</v>
      </c>
      <c r="F136" s="12">
        <v>88.9</v>
      </c>
      <c r="G136" s="12">
        <f t="shared" si="24"/>
        <v>-3.79</v>
      </c>
      <c r="H136" s="13" t="s">
        <v>112</v>
      </c>
      <c r="I136" s="13"/>
      <c r="J136" s="37">
        <v>5</v>
      </c>
      <c r="K136" s="13" t="s">
        <v>113</v>
      </c>
    </row>
    <row r="137" spans="1:11" s="10" customFormat="1" x14ac:dyDescent="0.3">
      <c r="A137" s="10" t="s">
        <v>1</v>
      </c>
      <c r="B137" s="31"/>
      <c r="C137" s="15" t="s">
        <v>100</v>
      </c>
      <c r="D137" s="31"/>
      <c r="E137" s="10">
        <v>31.832000000000001</v>
      </c>
      <c r="F137" s="10">
        <v>34</v>
      </c>
      <c r="G137" s="10">
        <f t="shared" si="24"/>
        <v>6.81</v>
      </c>
      <c r="H137" s="7"/>
      <c r="I137" s="7">
        <v>34</v>
      </c>
      <c r="J137" s="38">
        <v>5</v>
      </c>
      <c r="K137" s="7"/>
    </row>
    <row r="138" spans="1:11" s="12" customFormat="1" x14ac:dyDescent="0.3">
      <c r="A138" s="12" t="s">
        <v>11</v>
      </c>
      <c r="B138" s="32"/>
      <c r="C138" s="16" t="s">
        <v>98</v>
      </c>
      <c r="D138" s="32"/>
      <c r="E138" s="12">
        <v>12.05</v>
      </c>
      <c r="F138" s="12">
        <v>11.75</v>
      </c>
      <c r="G138" s="12">
        <f t="shared" si="24"/>
        <v>-2.4900000000000002</v>
      </c>
      <c r="H138" s="13"/>
      <c r="I138" s="13">
        <v>12.95</v>
      </c>
      <c r="J138" s="37">
        <v>5</v>
      </c>
      <c r="K138" s="13" t="s">
        <v>101</v>
      </c>
    </row>
    <row r="139" spans="1:11" s="12" customFormat="1" x14ac:dyDescent="0.3">
      <c r="A139" s="10" t="s">
        <v>28</v>
      </c>
      <c r="B139" s="32"/>
      <c r="C139" s="16" t="s">
        <v>96</v>
      </c>
      <c r="D139" s="32"/>
      <c r="E139" s="12">
        <v>62</v>
      </c>
      <c r="F139" s="12">
        <v>58.6</v>
      </c>
      <c r="G139" s="12">
        <f t="shared" si="24"/>
        <v>-5.48</v>
      </c>
      <c r="H139" s="13" t="s">
        <v>97</v>
      </c>
      <c r="I139" s="13"/>
      <c r="J139" s="37"/>
      <c r="K139" s="13" t="s">
        <v>99</v>
      </c>
    </row>
    <row r="140" spans="1:11" s="10" customFormat="1" x14ac:dyDescent="0.3">
      <c r="A140" s="12" t="s">
        <v>95</v>
      </c>
      <c r="B140" s="31"/>
      <c r="C140" s="15">
        <v>45965</v>
      </c>
      <c r="D140" s="31"/>
      <c r="E140" s="10">
        <v>83.9</v>
      </c>
      <c r="F140" s="10">
        <v>91.2</v>
      </c>
      <c r="G140" s="10">
        <f t="shared" si="24"/>
        <v>8.6999999999999993</v>
      </c>
      <c r="H140" s="7" t="s">
        <v>91</v>
      </c>
      <c r="I140" s="7"/>
      <c r="J140" s="38"/>
      <c r="K140" s="7" t="s">
        <v>90</v>
      </c>
    </row>
    <row r="141" spans="1:11" s="12" customFormat="1" x14ac:dyDescent="0.3">
      <c r="A141" s="12" t="s">
        <v>15</v>
      </c>
      <c r="B141" s="32"/>
      <c r="C141" s="16">
        <v>45965</v>
      </c>
      <c r="D141" s="32"/>
      <c r="E141" s="12">
        <v>15.365</v>
      </c>
      <c r="F141" s="12">
        <v>14.8</v>
      </c>
      <c r="G141" s="12">
        <f t="shared" si="24"/>
        <v>-3.68</v>
      </c>
      <c r="H141" s="13" t="s">
        <v>92</v>
      </c>
      <c r="I141" s="13"/>
      <c r="J141" s="37"/>
      <c r="K141" s="13" t="s">
        <v>93</v>
      </c>
    </row>
    <row r="142" spans="1:11" s="12" customFormat="1" x14ac:dyDescent="0.3">
      <c r="A142" s="10" t="s">
        <v>11</v>
      </c>
      <c r="B142" s="32"/>
      <c r="C142" s="16" t="s">
        <v>87</v>
      </c>
      <c r="D142" s="32"/>
      <c r="E142" s="12">
        <v>31.8</v>
      </c>
      <c r="F142" s="12">
        <v>30.3</v>
      </c>
      <c r="G142" s="12">
        <f t="shared" si="24"/>
        <v>-4.72</v>
      </c>
      <c r="H142" s="13" t="s">
        <v>88</v>
      </c>
      <c r="I142" s="13"/>
      <c r="J142" s="37"/>
      <c r="K142" s="13" t="s">
        <v>94</v>
      </c>
    </row>
    <row r="143" spans="1:11" s="10" customFormat="1" x14ac:dyDescent="0.3">
      <c r="A143" s="12" t="s">
        <v>10</v>
      </c>
      <c r="B143" s="31"/>
      <c r="C143" s="15">
        <v>45965</v>
      </c>
      <c r="D143" s="31"/>
      <c r="E143" s="10">
        <v>11.7</v>
      </c>
      <c r="F143" s="10">
        <v>13</v>
      </c>
      <c r="G143" s="10">
        <f t="shared" si="24"/>
        <v>11.11</v>
      </c>
      <c r="H143" s="7" t="s">
        <v>86</v>
      </c>
      <c r="I143" s="7"/>
      <c r="J143" s="38"/>
      <c r="K143" s="7" t="s">
        <v>89</v>
      </c>
    </row>
    <row r="144" spans="1:11" s="12" customFormat="1" x14ac:dyDescent="0.3">
      <c r="A144" s="12" t="s">
        <v>14</v>
      </c>
      <c r="B144" s="32"/>
      <c r="C144" s="16">
        <v>45965</v>
      </c>
      <c r="D144" s="32"/>
      <c r="E144" s="12">
        <v>2.6669999999999998</v>
      </c>
      <c r="F144" s="12">
        <v>2.5099999999999998</v>
      </c>
      <c r="G144" s="12">
        <f t="shared" si="24"/>
        <v>-5.89</v>
      </c>
      <c r="H144" s="13" t="s">
        <v>85</v>
      </c>
      <c r="I144" s="13"/>
      <c r="J144" s="37"/>
      <c r="K144" s="13"/>
    </row>
    <row r="145" spans="1:11" s="12" customFormat="1" x14ac:dyDescent="0.3">
      <c r="A145" s="10" t="s">
        <v>66</v>
      </c>
      <c r="B145" s="32"/>
      <c r="C145" s="16">
        <v>45661</v>
      </c>
      <c r="D145" s="32"/>
      <c r="E145" s="12">
        <v>4.55</v>
      </c>
      <c r="F145" s="12">
        <v>4.53</v>
      </c>
      <c r="G145" s="12">
        <f t="shared" si="24"/>
        <v>-0.44</v>
      </c>
      <c r="H145" s="13" t="s">
        <v>78</v>
      </c>
      <c r="I145" s="13"/>
      <c r="J145" s="37"/>
      <c r="K145" s="13" t="s">
        <v>82</v>
      </c>
    </row>
    <row r="146" spans="1:11" s="12" customFormat="1" x14ac:dyDescent="0.3">
      <c r="A146" s="12" t="s">
        <v>31</v>
      </c>
      <c r="B146" s="32"/>
      <c r="D146" s="32"/>
      <c r="E146" s="12">
        <v>24.45</v>
      </c>
      <c r="F146" s="12">
        <v>23.9</v>
      </c>
      <c r="G146" s="12">
        <f t="shared" si="24"/>
        <v>-2.25</v>
      </c>
      <c r="H146" s="13" t="s">
        <v>52</v>
      </c>
      <c r="I146" s="13"/>
      <c r="J146" s="37"/>
      <c r="K146" s="13" t="s">
        <v>84</v>
      </c>
    </row>
    <row r="147" spans="1:11" s="12" customFormat="1" ht="36" x14ac:dyDescent="0.3">
      <c r="A147" s="12" t="s">
        <v>41</v>
      </c>
      <c r="B147" s="32"/>
      <c r="C147" s="16">
        <v>45692</v>
      </c>
      <c r="D147" s="32"/>
      <c r="E147" s="12">
        <v>13</v>
      </c>
      <c r="F147" s="12">
        <v>12.95</v>
      </c>
      <c r="G147" s="12">
        <f t="shared" si="24"/>
        <v>-0.38</v>
      </c>
      <c r="H147" s="13" t="s">
        <v>79</v>
      </c>
      <c r="I147" s="13"/>
      <c r="J147" s="37"/>
      <c r="K147" s="13" t="s">
        <v>80</v>
      </c>
    </row>
    <row r="148" spans="1:11" s="12" customFormat="1" ht="36" x14ac:dyDescent="0.3">
      <c r="A148" s="12" t="s">
        <v>45</v>
      </c>
      <c r="B148" s="32"/>
      <c r="D148" s="32"/>
      <c r="E148" s="12">
        <v>11.7</v>
      </c>
      <c r="F148" s="12">
        <v>11.6</v>
      </c>
      <c r="G148" s="13">
        <f t="shared" ref="G148:G161" si="25">ROUND((F148 - E148) / E148 * 100, 2)</f>
        <v>-0.85</v>
      </c>
      <c r="H148" s="13" t="s">
        <v>49</v>
      </c>
      <c r="I148" s="13"/>
      <c r="J148" s="37"/>
      <c r="K148" s="13" t="s">
        <v>81</v>
      </c>
    </row>
    <row r="149" spans="1:11" s="10" customFormat="1" x14ac:dyDescent="0.3">
      <c r="A149" s="12"/>
      <c r="B149" s="31"/>
      <c r="C149" s="10" t="s">
        <v>69</v>
      </c>
      <c r="D149" s="31"/>
      <c r="E149" s="10">
        <v>51.2</v>
      </c>
      <c r="F149" s="10">
        <v>51.5</v>
      </c>
      <c r="G149" s="10">
        <f t="shared" si="25"/>
        <v>0.59</v>
      </c>
      <c r="H149" s="7" t="s">
        <v>76</v>
      </c>
      <c r="I149" s="7"/>
      <c r="J149" s="38"/>
      <c r="K149" s="7" t="s">
        <v>83</v>
      </c>
    </row>
    <row r="150" spans="1:11" s="12" customFormat="1" x14ac:dyDescent="0.3">
      <c r="A150" s="12" t="s">
        <v>9</v>
      </c>
      <c r="B150" s="32"/>
      <c r="D150" s="32"/>
      <c r="E150" s="12">
        <v>12.6</v>
      </c>
      <c r="F150" s="12">
        <v>12.5</v>
      </c>
      <c r="G150" s="12">
        <f t="shared" si="25"/>
        <v>-0.79</v>
      </c>
      <c r="H150" s="13" t="s">
        <v>68</v>
      </c>
      <c r="I150" s="13"/>
      <c r="J150" s="37"/>
      <c r="K150" s="13" t="s">
        <v>77</v>
      </c>
    </row>
    <row r="151" spans="1:11" s="12" customFormat="1" ht="36" x14ac:dyDescent="0.3">
      <c r="A151" s="10" t="s">
        <v>65</v>
      </c>
      <c r="B151" s="32"/>
      <c r="D151" s="32"/>
      <c r="E151" s="12">
        <v>69.3</v>
      </c>
      <c r="F151" s="12">
        <v>66</v>
      </c>
      <c r="G151" s="13">
        <f t="shared" si="25"/>
        <v>-4.76</v>
      </c>
      <c r="H151" s="13"/>
      <c r="I151" s="13"/>
      <c r="J151" s="37"/>
      <c r="K151" s="13" t="s">
        <v>74</v>
      </c>
    </row>
    <row r="152" spans="1:11" s="12" customFormat="1" ht="36" x14ac:dyDescent="0.3">
      <c r="A152" s="12" t="s">
        <v>66</v>
      </c>
      <c r="B152" s="32"/>
      <c r="C152" s="12" t="s">
        <v>70</v>
      </c>
      <c r="D152" s="32"/>
      <c r="E152" s="12">
        <v>16.05</v>
      </c>
      <c r="F152" s="12">
        <v>15.25</v>
      </c>
      <c r="G152" s="12">
        <f t="shared" si="25"/>
        <v>-4.9800000000000004</v>
      </c>
      <c r="H152" s="13" t="s">
        <v>71</v>
      </c>
      <c r="I152" s="13"/>
      <c r="J152" s="37"/>
      <c r="K152" s="13" t="s">
        <v>74</v>
      </c>
    </row>
    <row r="153" spans="1:11" s="12" customFormat="1" x14ac:dyDescent="0.3">
      <c r="A153" s="12" t="s">
        <v>40</v>
      </c>
      <c r="B153" s="32"/>
      <c r="C153" s="12" t="s">
        <v>69</v>
      </c>
      <c r="D153" s="32"/>
      <c r="E153" s="12">
        <v>78.7</v>
      </c>
      <c r="F153" s="12">
        <v>77.8</v>
      </c>
      <c r="G153" s="12">
        <f t="shared" si="25"/>
        <v>-1.1399999999999999</v>
      </c>
      <c r="H153" s="13" t="s">
        <v>67</v>
      </c>
      <c r="I153" s="13"/>
      <c r="J153" s="37"/>
      <c r="K153" s="13" t="s">
        <v>73</v>
      </c>
    </row>
    <row r="154" spans="1:11" s="10" customFormat="1" x14ac:dyDescent="0.3">
      <c r="A154" s="12" t="s">
        <v>32</v>
      </c>
      <c r="B154" s="31"/>
      <c r="C154" s="10" t="s">
        <v>62</v>
      </c>
      <c r="D154" s="31"/>
      <c r="E154" s="10">
        <v>23.85</v>
      </c>
      <c r="F154" s="10">
        <v>23.95</v>
      </c>
      <c r="G154" s="10">
        <f t="shared" si="25"/>
        <v>0.42</v>
      </c>
      <c r="H154" s="7" t="s">
        <v>57</v>
      </c>
      <c r="I154" s="7"/>
      <c r="J154" s="38"/>
      <c r="K154" s="7" t="s">
        <v>75</v>
      </c>
    </row>
    <row r="155" spans="1:11" s="12" customFormat="1" ht="36" x14ac:dyDescent="0.3">
      <c r="A155" s="12" t="s">
        <v>35</v>
      </c>
      <c r="B155" s="32"/>
      <c r="D155" s="32"/>
      <c r="E155" s="12">
        <v>20.76</v>
      </c>
      <c r="F155" s="12">
        <v>19.899999999999999</v>
      </c>
      <c r="G155" s="12">
        <f t="shared" si="25"/>
        <v>-4.1399999999999997</v>
      </c>
      <c r="H155" s="13" t="s">
        <v>61</v>
      </c>
      <c r="I155" s="13"/>
      <c r="J155" s="37"/>
      <c r="K155" s="13" t="s">
        <v>72</v>
      </c>
    </row>
    <row r="156" spans="1:11" s="10" customFormat="1" x14ac:dyDescent="0.3">
      <c r="A156" s="10" t="s">
        <v>5</v>
      </c>
      <c r="B156" s="31"/>
      <c r="D156" s="31"/>
      <c r="E156" s="10">
        <v>17.75</v>
      </c>
      <c r="F156" s="10">
        <v>20</v>
      </c>
      <c r="G156" s="10">
        <f t="shared" si="25"/>
        <v>12.68</v>
      </c>
      <c r="H156" s="7" t="s">
        <v>51</v>
      </c>
      <c r="I156" s="7"/>
      <c r="J156" s="38"/>
      <c r="K156" s="7" t="s">
        <v>50</v>
      </c>
    </row>
    <row r="157" spans="1:11" s="12" customFormat="1" x14ac:dyDescent="0.3">
      <c r="A157" s="12" t="s">
        <v>10</v>
      </c>
      <c r="B157" s="32"/>
      <c r="D157" s="32"/>
      <c r="E157" s="12">
        <v>99</v>
      </c>
      <c r="F157" s="12">
        <v>96.2</v>
      </c>
      <c r="G157" s="13">
        <f t="shared" si="25"/>
        <v>-2.83</v>
      </c>
      <c r="H157" s="13" t="s">
        <v>53</v>
      </c>
      <c r="I157" s="13"/>
      <c r="J157" s="37"/>
      <c r="K157" s="13" t="s">
        <v>60</v>
      </c>
    </row>
    <row r="158" spans="1:11" s="12" customFormat="1" ht="36" x14ac:dyDescent="0.3">
      <c r="A158" s="10" t="s">
        <v>16</v>
      </c>
      <c r="B158" s="32"/>
      <c r="C158" s="12" t="s">
        <v>62</v>
      </c>
      <c r="D158" s="32"/>
      <c r="E158" s="12">
        <v>29.5</v>
      </c>
      <c r="F158" s="12">
        <v>29.4</v>
      </c>
      <c r="G158" s="13">
        <f t="shared" si="25"/>
        <v>-0.34</v>
      </c>
      <c r="H158" s="13" t="s">
        <v>58</v>
      </c>
      <c r="I158" s="13"/>
      <c r="J158" s="37"/>
      <c r="K158" s="13" t="s">
        <v>64</v>
      </c>
    </row>
    <row r="159" spans="1:11" s="10" customFormat="1" ht="54" x14ac:dyDescent="0.3">
      <c r="A159" s="12" t="s">
        <v>44</v>
      </c>
      <c r="B159" s="31"/>
      <c r="D159" s="31"/>
      <c r="E159" s="10">
        <v>10.5</v>
      </c>
      <c r="F159" s="10">
        <v>12.45</v>
      </c>
      <c r="G159" s="10">
        <f t="shared" si="25"/>
        <v>18.57</v>
      </c>
      <c r="H159" s="7" t="s">
        <v>63</v>
      </c>
      <c r="I159" s="7"/>
      <c r="J159" s="38"/>
      <c r="K159" s="7" t="s">
        <v>55</v>
      </c>
    </row>
    <row r="160" spans="1:11" s="12" customFormat="1" x14ac:dyDescent="0.3">
      <c r="A160" s="12" t="s">
        <v>54</v>
      </c>
      <c r="B160" s="32"/>
      <c r="D160" s="32"/>
      <c r="E160" s="12">
        <v>18.7</v>
      </c>
      <c r="F160" s="12">
        <v>18.3</v>
      </c>
      <c r="G160" s="13">
        <f t="shared" si="25"/>
        <v>-2.14</v>
      </c>
      <c r="H160" s="13" t="s">
        <v>48</v>
      </c>
      <c r="I160" s="13"/>
      <c r="J160" s="37"/>
      <c r="K160" s="13" t="s">
        <v>56</v>
      </c>
    </row>
    <row r="161" spans="1:15" s="12" customFormat="1" ht="36" x14ac:dyDescent="0.3">
      <c r="A161" s="10" t="s">
        <v>25</v>
      </c>
      <c r="B161" s="32"/>
      <c r="D161" s="32"/>
      <c r="E161" s="12">
        <v>51.9</v>
      </c>
      <c r="F161" s="12">
        <v>51.6</v>
      </c>
      <c r="G161" s="13">
        <f t="shared" si="25"/>
        <v>-0.57999999999999996</v>
      </c>
      <c r="H161" s="13" t="s">
        <v>46</v>
      </c>
      <c r="I161" s="13"/>
      <c r="J161" s="37"/>
      <c r="K161" s="13" t="s">
        <v>47</v>
      </c>
    </row>
    <row r="162" spans="1:15" x14ac:dyDescent="0.3">
      <c r="A162" s="12" t="s">
        <v>27</v>
      </c>
    </row>
    <row r="163" spans="1:15" x14ac:dyDescent="0.3">
      <c r="A163" s="12" t="s">
        <v>20</v>
      </c>
    </row>
    <row r="170" spans="1:15" x14ac:dyDescent="0.3">
      <c r="B170" s="33"/>
      <c r="C170" s="11"/>
      <c r="D170" s="33"/>
      <c r="E170" s="11"/>
      <c r="F170" s="11"/>
      <c r="G170" s="11"/>
      <c r="H170" s="14"/>
      <c r="I170" s="14"/>
      <c r="J170" s="39"/>
      <c r="K170" s="14"/>
      <c r="L170" s="11"/>
      <c r="M170" s="11"/>
      <c r="N170" s="11"/>
      <c r="O170" s="11"/>
    </row>
    <row r="172" spans="1:15" x14ac:dyDescent="0.3">
      <c r="A172" s="1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07E3C-B21A-40E0-A83C-50EBD79251D6}">
  <dimension ref="A1:S317"/>
  <sheetViews>
    <sheetView topLeftCell="A59" zoomScaleNormal="100" workbookViewId="0">
      <selection activeCell="B3" sqref="B3"/>
    </sheetView>
  </sheetViews>
  <sheetFormatPr defaultColWidth="8.88671875" defaultRowHeight="15.6" x14ac:dyDescent="0.3"/>
  <cols>
    <col min="1" max="16384" width="8.88671875" style="20"/>
  </cols>
  <sheetData>
    <row r="1" spans="1:13" ht="21" x14ac:dyDescent="0.4">
      <c r="D1" s="19" t="s">
        <v>332</v>
      </c>
      <c r="E1" s="22"/>
      <c r="F1" s="22"/>
      <c r="G1" s="22"/>
      <c r="H1" s="22"/>
      <c r="I1" s="22"/>
      <c r="J1" s="22"/>
      <c r="K1" s="22"/>
      <c r="L1" s="22"/>
      <c r="M1" s="22"/>
    </row>
    <row r="2" spans="1:13" ht="21" x14ac:dyDescent="0.4">
      <c r="A2" s="21" t="s">
        <v>648</v>
      </c>
      <c r="D2" s="18"/>
    </row>
    <row r="3" spans="1:13" x14ac:dyDescent="0.3">
      <c r="B3" s="20" t="s">
        <v>679</v>
      </c>
    </row>
    <row r="4" spans="1:13" x14ac:dyDescent="0.3">
      <c r="B4" s="20" t="s">
        <v>678</v>
      </c>
    </row>
    <row r="5" spans="1:13" x14ac:dyDescent="0.3">
      <c r="B5" s="20" t="s">
        <v>677</v>
      </c>
    </row>
    <row r="6" spans="1:13" x14ac:dyDescent="0.3">
      <c r="B6" s="20" t="s">
        <v>673</v>
      </c>
    </row>
    <row r="7" spans="1:13" x14ac:dyDescent="0.3">
      <c r="B7" s="20" t="s">
        <v>1181</v>
      </c>
    </row>
    <row r="8" spans="1:13" x14ac:dyDescent="0.3">
      <c r="B8" s="20" t="s">
        <v>726</v>
      </c>
    </row>
    <row r="9" spans="1:13" x14ac:dyDescent="0.3">
      <c r="A9" s="21" t="s">
        <v>649</v>
      </c>
    </row>
    <row r="10" spans="1:13" x14ac:dyDescent="0.3">
      <c r="B10" s="20" t="s">
        <v>680</v>
      </c>
    </row>
    <row r="11" spans="1:13" x14ac:dyDescent="0.3">
      <c r="B11" s="20" t="s">
        <v>681</v>
      </c>
    </row>
    <row r="12" spans="1:13" x14ac:dyDescent="0.3">
      <c r="B12" s="20" t="s">
        <v>682</v>
      </c>
    </row>
    <row r="13" spans="1:13" x14ac:dyDescent="0.3">
      <c r="B13" s="20" t="s">
        <v>706</v>
      </c>
    </row>
    <row r="14" spans="1:13" x14ac:dyDescent="0.3">
      <c r="B14" s="20" t="s">
        <v>683</v>
      </c>
    </row>
    <row r="15" spans="1:13" x14ac:dyDescent="0.3">
      <c r="A15" s="21" t="s">
        <v>650</v>
      </c>
    </row>
    <row r="16" spans="1:13" x14ac:dyDescent="0.3">
      <c r="B16" s="20" t="s">
        <v>684</v>
      </c>
    </row>
    <row r="21" spans="1:12" ht="21" x14ac:dyDescent="0.4">
      <c r="D21" s="19" t="s">
        <v>333</v>
      </c>
      <c r="E21" s="22"/>
      <c r="F21" s="22"/>
      <c r="G21" s="22"/>
      <c r="H21" s="22"/>
      <c r="I21" s="22"/>
      <c r="J21" s="22"/>
      <c r="K21" s="22"/>
      <c r="L21" s="22"/>
    </row>
    <row r="22" spans="1:12" x14ac:dyDescent="0.3">
      <c r="A22" s="21" t="s">
        <v>326</v>
      </c>
    </row>
    <row r="23" spans="1:12" x14ac:dyDescent="0.3">
      <c r="B23" s="20" t="s">
        <v>334</v>
      </c>
    </row>
    <row r="24" spans="1:12" x14ac:dyDescent="0.3">
      <c r="B24" s="20" t="s">
        <v>327</v>
      </c>
    </row>
    <row r="25" spans="1:12" x14ac:dyDescent="0.3">
      <c r="A25" s="21" t="s">
        <v>328</v>
      </c>
    </row>
    <row r="26" spans="1:12" x14ac:dyDescent="0.3">
      <c r="B26" s="20" t="s">
        <v>335</v>
      </c>
    </row>
    <row r="27" spans="1:12" x14ac:dyDescent="0.3">
      <c r="A27" s="21" t="s">
        <v>329</v>
      </c>
    </row>
    <row r="28" spans="1:12" x14ac:dyDescent="0.3">
      <c r="B28" s="20" t="s">
        <v>659</v>
      </c>
    </row>
    <row r="33" spans="1:11" s="18" customFormat="1" ht="21" x14ac:dyDescent="0.4">
      <c r="A33" s="17"/>
      <c r="D33" s="19" t="s">
        <v>301</v>
      </c>
      <c r="E33" s="19"/>
      <c r="F33" s="19"/>
      <c r="G33" s="19"/>
      <c r="H33" s="19"/>
      <c r="I33" s="19"/>
      <c r="J33" s="19"/>
      <c r="K33" s="19"/>
    </row>
    <row r="34" spans="1:11" s="21" customFormat="1" x14ac:dyDescent="0.3">
      <c r="A34" s="21" t="s">
        <v>302</v>
      </c>
    </row>
    <row r="35" spans="1:11" x14ac:dyDescent="0.3">
      <c r="B35" s="20" t="s">
        <v>672</v>
      </c>
    </row>
    <row r="36" spans="1:11" x14ac:dyDescent="0.3">
      <c r="B36" s="20" t="s">
        <v>303</v>
      </c>
    </row>
    <row r="37" spans="1:11" x14ac:dyDescent="0.3">
      <c r="B37" s="20" t="s">
        <v>304</v>
      </c>
    </row>
    <row r="38" spans="1:11" x14ac:dyDescent="0.3">
      <c r="B38" s="20" t="s">
        <v>305</v>
      </c>
    </row>
    <row r="39" spans="1:11" x14ac:dyDescent="0.3">
      <c r="B39" s="20" t="s">
        <v>306</v>
      </c>
    </row>
    <row r="40" spans="1:11" x14ac:dyDescent="0.3">
      <c r="B40" s="20" t="s">
        <v>307</v>
      </c>
    </row>
    <row r="41" spans="1:11" x14ac:dyDescent="0.3">
      <c r="B41" s="20" t="s">
        <v>308</v>
      </c>
    </row>
    <row r="42" spans="1:11" x14ac:dyDescent="0.3">
      <c r="B42" s="20" t="s">
        <v>727</v>
      </c>
    </row>
    <row r="43" spans="1:11" x14ac:dyDescent="0.3">
      <c r="B43" s="20" t="s">
        <v>309</v>
      </c>
    </row>
    <row r="44" spans="1:11" x14ac:dyDescent="0.3">
      <c r="B44" s="20" t="s">
        <v>710</v>
      </c>
    </row>
    <row r="45" spans="1:11" x14ac:dyDescent="0.3">
      <c r="B45" s="20" t="s">
        <v>651</v>
      </c>
    </row>
    <row r="46" spans="1:11" x14ac:dyDescent="0.3">
      <c r="B46" s="20" t="s">
        <v>658</v>
      </c>
    </row>
    <row r="47" spans="1:11" s="21" customFormat="1" x14ac:dyDescent="0.3">
      <c r="A47" s="21" t="s">
        <v>330</v>
      </c>
    </row>
    <row r="48" spans="1:11" x14ac:dyDescent="0.3">
      <c r="B48" s="20" t="s">
        <v>310</v>
      </c>
    </row>
    <row r="49" spans="1:11" x14ac:dyDescent="0.3">
      <c r="B49" s="20" t="s">
        <v>311</v>
      </c>
    </row>
    <row r="50" spans="1:11" x14ac:dyDescent="0.3">
      <c r="B50" s="20" t="s">
        <v>707</v>
      </c>
    </row>
    <row r="51" spans="1:11" x14ac:dyDescent="0.3">
      <c r="B51" s="20" t="s">
        <v>568</v>
      </c>
    </row>
    <row r="52" spans="1:11" x14ac:dyDescent="0.3">
      <c r="A52" s="21" t="s">
        <v>312</v>
      </c>
    </row>
    <row r="53" spans="1:11" x14ac:dyDescent="0.3">
      <c r="B53" s="20" t="s">
        <v>313</v>
      </c>
    </row>
    <row r="54" spans="1:11" x14ac:dyDescent="0.3">
      <c r="B54" s="20" t="s">
        <v>728</v>
      </c>
    </row>
    <row r="55" spans="1:11" x14ac:dyDescent="0.3">
      <c r="B55" s="20" t="s">
        <v>314</v>
      </c>
    </row>
    <row r="56" spans="1:11" x14ac:dyDescent="0.3">
      <c r="A56" s="21" t="s">
        <v>640</v>
      </c>
    </row>
    <row r="57" spans="1:11" x14ac:dyDescent="0.3">
      <c r="A57" s="21"/>
      <c r="B57" s="20" t="s">
        <v>641</v>
      </c>
    </row>
    <row r="58" spans="1:11" x14ac:dyDescent="0.3">
      <c r="A58" s="21"/>
      <c r="B58" s="20" t="s">
        <v>642</v>
      </c>
    </row>
    <row r="59" spans="1:11" x14ac:dyDescent="0.3">
      <c r="A59" s="21"/>
      <c r="B59" s="20" t="s">
        <v>644</v>
      </c>
    </row>
    <row r="60" spans="1:11" x14ac:dyDescent="0.3">
      <c r="A60" s="21"/>
      <c r="B60" s="20" t="s">
        <v>643</v>
      </c>
    </row>
    <row r="62" spans="1:11" ht="21" x14ac:dyDescent="0.4">
      <c r="D62" s="19" t="s">
        <v>331</v>
      </c>
      <c r="E62" s="22"/>
      <c r="F62" s="22"/>
      <c r="G62" s="22"/>
      <c r="H62" s="22"/>
      <c r="I62" s="22"/>
      <c r="J62" s="22"/>
      <c r="K62" s="22"/>
    </row>
    <row r="63" spans="1:11" x14ac:dyDescent="0.3">
      <c r="B63" s="20" t="s">
        <v>1100</v>
      </c>
    </row>
    <row r="64" spans="1:11" x14ac:dyDescent="0.3">
      <c r="B64" s="20" t="s">
        <v>1099</v>
      </c>
    </row>
    <row r="65" spans="2:2" x14ac:dyDescent="0.3">
      <c r="B65" s="20" t="s">
        <v>639</v>
      </c>
    </row>
    <row r="66" spans="2:2" x14ac:dyDescent="0.3">
      <c r="B66" s="20" t="s">
        <v>1098</v>
      </c>
    </row>
    <row r="67" spans="2:2" x14ac:dyDescent="0.3">
      <c r="B67" s="20" t="s">
        <v>315</v>
      </c>
    </row>
    <row r="68" spans="2:2" x14ac:dyDescent="0.3">
      <c r="B68" s="20" t="s">
        <v>316</v>
      </c>
    </row>
    <row r="69" spans="2:2" x14ac:dyDescent="0.3">
      <c r="B69" s="20" t="s">
        <v>708</v>
      </c>
    </row>
    <row r="70" spans="2:2" x14ac:dyDescent="0.3">
      <c r="B70" s="20" t="s">
        <v>317</v>
      </c>
    </row>
    <row r="71" spans="2:2" x14ac:dyDescent="0.3">
      <c r="B71" s="20" t="s">
        <v>318</v>
      </c>
    </row>
    <row r="72" spans="2:2" x14ac:dyDescent="0.3">
      <c r="B72" s="20" t="s">
        <v>319</v>
      </c>
    </row>
    <row r="73" spans="2:2" x14ac:dyDescent="0.3">
      <c r="B73" s="20" t="s">
        <v>320</v>
      </c>
    </row>
    <row r="74" spans="2:2" x14ac:dyDescent="0.3">
      <c r="B74" s="20" t="s">
        <v>321</v>
      </c>
    </row>
    <row r="75" spans="2:2" x14ac:dyDescent="0.3">
      <c r="B75" s="20" t="s">
        <v>322</v>
      </c>
    </row>
    <row r="76" spans="2:2" x14ac:dyDescent="0.3">
      <c r="B76" s="20" t="s">
        <v>323</v>
      </c>
    </row>
    <row r="77" spans="2:2" x14ac:dyDescent="0.3">
      <c r="B77" s="20" t="s">
        <v>324</v>
      </c>
    </row>
    <row r="78" spans="2:2" x14ac:dyDescent="0.3">
      <c r="B78" s="20" t="s">
        <v>709</v>
      </c>
    </row>
    <row r="79" spans="2:2" x14ac:dyDescent="0.3">
      <c r="B79" s="20" t="s">
        <v>660</v>
      </c>
    </row>
    <row r="80" spans="2:2" x14ac:dyDescent="0.3">
      <c r="B80" s="20" t="s">
        <v>325</v>
      </c>
    </row>
    <row r="85" spans="1:10" ht="21" x14ac:dyDescent="0.4">
      <c r="D85" s="19" t="s">
        <v>339</v>
      </c>
      <c r="E85" s="22"/>
      <c r="F85" s="22"/>
      <c r="G85" s="22"/>
      <c r="H85" s="22"/>
      <c r="I85" s="22"/>
      <c r="J85" s="22"/>
    </row>
    <row r="86" spans="1:10" x14ac:dyDescent="0.3">
      <c r="A86" s="20" t="s">
        <v>336</v>
      </c>
    </row>
    <row r="87" spans="1:10" x14ac:dyDescent="0.3">
      <c r="A87" s="20" t="s">
        <v>485</v>
      </c>
    </row>
    <row r="88" spans="1:10" x14ac:dyDescent="0.3">
      <c r="A88" s="20" t="s">
        <v>486</v>
      </c>
    </row>
    <row r="89" spans="1:10" x14ac:dyDescent="0.3">
      <c r="A89" s="20" t="s">
        <v>337</v>
      </c>
    </row>
    <row r="90" spans="1:10" x14ac:dyDescent="0.3">
      <c r="A90" s="20" t="s">
        <v>338</v>
      </c>
    </row>
    <row r="91" spans="1:10" x14ac:dyDescent="0.3">
      <c r="A91" s="20" t="s">
        <v>132</v>
      </c>
    </row>
    <row r="92" spans="1:10" x14ac:dyDescent="0.3">
      <c r="A92" s="20" t="s">
        <v>133</v>
      </c>
    </row>
    <row r="93" spans="1:10" x14ac:dyDescent="0.3">
      <c r="A93" s="20" t="s">
        <v>134</v>
      </c>
    </row>
    <row r="94" spans="1:10" x14ac:dyDescent="0.3">
      <c r="A94" s="20" t="s">
        <v>135</v>
      </c>
    </row>
    <row r="95" spans="1:10" x14ac:dyDescent="0.3">
      <c r="A95" s="20" t="s">
        <v>136</v>
      </c>
    </row>
    <row r="98" spans="1:12" ht="21" x14ac:dyDescent="0.4">
      <c r="D98" s="19" t="s">
        <v>340</v>
      </c>
      <c r="E98" s="22"/>
      <c r="F98" s="22"/>
      <c r="G98" s="22"/>
      <c r="H98" s="22"/>
      <c r="I98" s="22"/>
      <c r="J98" s="22"/>
      <c r="K98" s="22"/>
      <c r="L98" s="22"/>
    </row>
    <row r="99" spans="1:12" x14ac:dyDescent="0.3">
      <c r="A99" s="20" t="s">
        <v>341</v>
      </c>
    </row>
    <row r="100" spans="1:12" x14ac:dyDescent="0.3">
      <c r="A100" s="20" t="s">
        <v>342</v>
      </c>
    </row>
    <row r="101" spans="1:12" x14ac:dyDescent="0.3">
      <c r="A101" s="20" t="s">
        <v>343</v>
      </c>
    </row>
    <row r="102" spans="1:12" x14ac:dyDescent="0.3">
      <c r="A102" s="20" t="s">
        <v>344</v>
      </c>
    </row>
    <row r="103" spans="1:12" x14ac:dyDescent="0.3">
      <c r="A103" s="20" t="s">
        <v>137</v>
      </c>
    </row>
    <row r="104" spans="1:12" x14ac:dyDescent="0.3">
      <c r="A104" s="20" t="s">
        <v>138</v>
      </c>
    </row>
    <row r="105" spans="1:12" x14ac:dyDescent="0.3">
      <c r="A105" s="20" t="s">
        <v>139</v>
      </c>
    </row>
    <row r="107" spans="1:12" x14ac:dyDescent="0.3">
      <c r="A107" s="20" t="s">
        <v>140</v>
      </c>
    </row>
    <row r="108" spans="1:12" x14ac:dyDescent="0.3">
      <c r="A108" s="20" t="s">
        <v>345</v>
      </c>
    </row>
    <row r="109" spans="1:12" x14ac:dyDescent="0.3">
      <c r="A109" s="20" t="s">
        <v>346</v>
      </c>
    </row>
    <row r="110" spans="1:12" x14ac:dyDescent="0.3">
      <c r="A110" s="20" t="s">
        <v>347</v>
      </c>
    </row>
    <row r="112" spans="1:12" x14ac:dyDescent="0.3">
      <c r="A112" s="20" t="s">
        <v>348</v>
      </c>
    </row>
    <row r="114" spans="1:19" x14ac:dyDescent="0.3">
      <c r="A114" s="20" t="s">
        <v>141</v>
      </c>
    </row>
    <row r="115" spans="1:19" x14ac:dyDescent="0.3">
      <c r="A115" s="20" t="s">
        <v>142</v>
      </c>
    </row>
    <row r="116" spans="1:19" x14ac:dyDescent="0.3">
      <c r="A116" s="20" t="s">
        <v>143</v>
      </c>
      <c r="S116" s="20" t="s">
        <v>202</v>
      </c>
    </row>
    <row r="117" spans="1:19" x14ac:dyDescent="0.3">
      <c r="A117" s="20" t="s">
        <v>349</v>
      </c>
    </row>
    <row r="118" spans="1:19" x14ac:dyDescent="0.3">
      <c r="A118" s="20" t="s">
        <v>350</v>
      </c>
    </row>
    <row r="119" spans="1:19" x14ac:dyDescent="0.3">
      <c r="A119" s="20" t="s">
        <v>144</v>
      </c>
    </row>
    <row r="120" spans="1:19" x14ac:dyDescent="0.3">
      <c r="A120" s="20" t="s">
        <v>145</v>
      </c>
    </row>
    <row r="123" spans="1:19" x14ac:dyDescent="0.3">
      <c r="A123" s="20" t="s">
        <v>146</v>
      </c>
    </row>
    <row r="124" spans="1:19" x14ac:dyDescent="0.3">
      <c r="A124" s="20" t="s">
        <v>147</v>
      </c>
    </row>
    <row r="125" spans="1:19" x14ac:dyDescent="0.3">
      <c r="A125" s="20" t="s">
        <v>148</v>
      </c>
    </row>
    <row r="126" spans="1:19" x14ac:dyDescent="0.3">
      <c r="A126" s="20" t="s">
        <v>149</v>
      </c>
    </row>
    <row r="128" spans="1:19" x14ac:dyDescent="0.3">
      <c r="A128" s="20" t="s">
        <v>150</v>
      </c>
    </row>
    <row r="130" spans="1:1" x14ac:dyDescent="0.3">
      <c r="A130" s="20" t="s">
        <v>151</v>
      </c>
    </row>
    <row r="132" spans="1:1" x14ac:dyDescent="0.3">
      <c r="A132" s="20" t="s">
        <v>152</v>
      </c>
    </row>
    <row r="133" spans="1:1" x14ac:dyDescent="0.3">
      <c r="A133" s="20" t="s">
        <v>153</v>
      </c>
    </row>
    <row r="134" spans="1:1" x14ac:dyDescent="0.3">
      <c r="A134" s="20" t="s">
        <v>154</v>
      </c>
    </row>
    <row r="136" spans="1:1" x14ac:dyDescent="0.3">
      <c r="A136" s="20" t="s">
        <v>155</v>
      </c>
    </row>
    <row r="137" spans="1:1" x14ac:dyDescent="0.3">
      <c r="A137" s="20" t="s">
        <v>351</v>
      </c>
    </row>
    <row r="139" spans="1:1" x14ac:dyDescent="0.3">
      <c r="A139" s="21" t="s">
        <v>156</v>
      </c>
    </row>
    <row r="140" spans="1:1" x14ac:dyDescent="0.3">
      <c r="A140" s="20" t="s">
        <v>157</v>
      </c>
    </row>
    <row r="141" spans="1:1" x14ac:dyDescent="0.3">
      <c r="A141" s="20" t="s">
        <v>352</v>
      </c>
    </row>
    <row r="142" spans="1:1" x14ac:dyDescent="0.3">
      <c r="A142" s="20" t="s">
        <v>158</v>
      </c>
    </row>
    <row r="143" spans="1:1" x14ac:dyDescent="0.3">
      <c r="A143" s="20" t="s">
        <v>159</v>
      </c>
    </row>
    <row r="144" spans="1:1" x14ac:dyDescent="0.3">
      <c r="A144" s="20" t="s">
        <v>353</v>
      </c>
    </row>
    <row r="145" spans="1:1" x14ac:dyDescent="0.3">
      <c r="A145" s="20" t="s">
        <v>354</v>
      </c>
    </row>
    <row r="146" spans="1:1" x14ac:dyDescent="0.3">
      <c r="A146" s="20" t="s">
        <v>160</v>
      </c>
    </row>
    <row r="148" spans="1:1" x14ac:dyDescent="0.3">
      <c r="A148" s="20" t="s">
        <v>161</v>
      </c>
    </row>
    <row r="149" spans="1:1" x14ac:dyDescent="0.3">
      <c r="A149" s="20" t="s">
        <v>162</v>
      </c>
    </row>
    <row r="150" spans="1:1" x14ac:dyDescent="0.3">
      <c r="A150" s="20" t="s">
        <v>163</v>
      </c>
    </row>
    <row r="151" spans="1:1" x14ac:dyDescent="0.3">
      <c r="A151" s="20" t="s">
        <v>164</v>
      </c>
    </row>
    <row r="152" spans="1:1" x14ac:dyDescent="0.3">
      <c r="A152" s="20" t="s">
        <v>165</v>
      </c>
    </row>
    <row r="153" spans="1:1" x14ac:dyDescent="0.3">
      <c r="A153" s="20" t="s">
        <v>166</v>
      </c>
    </row>
    <row r="154" spans="1:1" x14ac:dyDescent="0.3">
      <c r="A154" s="20" t="s">
        <v>167</v>
      </c>
    </row>
    <row r="156" spans="1:1" x14ac:dyDescent="0.3">
      <c r="A156" s="20" t="s">
        <v>168</v>
      </c>
    </row>
    <row r="158" spans="1:1" x14ac:dyDescent="0.3">
      <c r="A158" s="20" t="s">
        <v>169</v>
      </c>
    </row>
    <row r="159" spans="1:1" x14ac:dyDescent="0.3">
      <c r="A159" s="20" t="s">
        <v>170</v>
      </c>
    </row>
    <row r="160" spans="1:1" x14ac:dyDescent="0.3">
      <c r="A160" s="20" t="s">
        <v>171</v>
      </c>
    </row>
    <row r="161" spans="1:1" x14ac:dyDescent="0.3">
      <c r="A161" s="20" t="s">
        <v>172</v>
      </c>
    </row>
    <row r="162" spans="1:1" x14ac:dyDescent="0.3">
      <c r="A162" s="20" t="s">
        <v>173</v>
      </c>
    </row>
    <row r="163" spans="1:1" x14ac:dyDescent="0.3">
      <c r="A163" s="20" t="s">
        <v>174</v>
      </c>
    </row>
    <row r="164" spans="1:1" x14ac:dyDescent="0.3">
      <c r="A164" s="20" t="s">
        <v>175</v>
      </c>
    </row>
    <row r="167" spans="1:1" x14ac:dyDescent="0.3">
      <c r="A167" s="21" t="s">
        <v>176</v>
      </c>
    </row>
    <row r="168" spans="1:1" x14ac:dyDescent="0.3">
      <c r="A168" s="20" t="s">
        <v>177</v>
      </c>
    </row>
    <row r="169" spans="1:1" x14ac:dyDescent="0.3">
      <c r="A169" s="20" t="s">
        <v>178</v>
      </c>
    </row>
    <row r="170" spans="1:1" x14ac:dyDescent="0.3">
      <c r="A170" s="20" t="s">
        <v>179</v>
      </c>
    </row>
    <row r="171" spans="1:1" x14ac:dyDescent="0.3">
      <c r="A171" s="20" t="s">
        <v>180</v>
      </c>
    </row>
    <row r="172" spans="1:1" x14ac:dyDescent="0.3">
      <c r="A172" s="20" t="s">
        <v>181</v>
      </c>
    </row>
    <row r="173" spans="1:1" x14ac:dyDescent="0.3">
      <c r="A173" s="20" t="s">
        <v>182</v>
      </c>
    </row>
    <row r="175" spans="1:1" x14ac:dyDescent="0.3">
      <c r="A175" s="20" t="s">
        <v>183</v>
      </c>
    </row>
    <row r="176" spans="1:1" x14ac:dyDescent="0.3">
      <c r="A176" s="20" t="s">
        <v>184</v>
      </c>
    </row>
    <row r="178" spans="1:1" x14ac:dyDescent="0.3">
      <c r="A178" s="20" t="s">
        <v>185</v>
      </c>
    </row>
    <row r="179" spans="1:1" x14ac:dyDescent="0.3">
      <c r="A179" s="20" t="s">
        <v>186</v>
      </c>
    </row>
    <row r="180" spans="1:1" x14ac:dyDescent="0.3">
      <c r="A180" s="20" t="s">
        <v>187</v>
      </c>
    </row>
    <row r="181" spans="1:1" x14ac:dyDescent="0.3">
      <c r="A181" s="20" t="s">
        <v>188</v>
      </c>
    </row>
    <row r="182" spans="1:1" x14ac:dyDescent="0.3">
      <c r="A182" s="20" t="s">
        <v>189</v>
      </c>
    </row>
    <row r="183" spans="1:1" x14ac:dyDescent="0.3">
      <c r="A183" s="20" t="s">
        <v>190</v>
      </c>
    </row>
    <row r="184" spans="1:1" x14ac:dyDescent="0.3">
      <c r="A184" s="20" t="s">
        <v>191</v>
      </c>
    </row>
    <row r="185" spans="1:1" x14ac:dyDescent="0.3">
      <c r="A185" s="20" t="s">
        <v>192</v>
      </c>
    </row>
    <row r="186" spans="1:1" x14ac:dyDescent="0.3">
      <c r="A186" s="20" t="s">
        <v>193</v>
      </c>
    </row>
    <row r="187" spans="1:1" x14ac:dyDescent="0.3">
      <c r="A187" s="20" t="s">
        <v>194</v>
      </c>
    </row>
    <row r="188" spans="1:1" x14ac:dyDescent="0.3">
      <c r="A188" s="20" t="s">
        <v>195</v>
      </c>
    </row>
    <row r="189" spans="1:1" x14ac:dyDescent="0.3">
      <c r="A189" s="20" t="s">
        <v>196</v>
      </c>
    </row>
    <row r="190" spans="1:1" x14ac:dyDescent="0.3">
      <c r="A190" s="20" t="s">
        <v>197</v>
      </c>
    </row>
    <row r="191" spans="1:1" x14ac:dyDescent="0.3">
      <c r="A191" s="20" t="s">
        <v>198</v>
      </c>
    </row>
    <row r="192" spans="1:1" x14ac:dyDescent="0.3">
      <c r="A192" s="20" t="s">
        <v>199</v>
      </c>
    </row>
    <row r="193" spans="1:1" x14ac:dyDescent="0.3">
      <c r="A193" s="20" t="s">
        <v>200</v>
      </c>
    </row>
    <row r="194" spans="1:1" x14ac:dyDescent="0.3">
      <c r="A194" s="20" t="s">
        <v>201</v>
      </c>
    </row>
    <row r="195" spans="1:1" x14ac:dyDescent="0.3">
      <c r="A195" s="20" t="s">
        <v>202</v>
      </c>
    </row>
    <row r="196" spans="1:1" x14ac:dyDescent="0.3">
      <c r="A196" s="21" t="s">
        <v>203</v>
      </c>
    </row>
    <row r="197" spans="1:1" x14ac:dyDescent="0.3">
      <c r="A197" s="20" t="s">
        <v>204</v>
      </c>
    </row>
    <row r="198" spans="1:1" x14ac:dyDescent="0.3">
      <c r="A198" s="20" t="s">
        <v>205</v>
      </c>
    </row>
    <row r="199" spans="1:1" x14ac:dyDescent="0.3">
      <c r="A199" s="20" t="s">
        <v>206</v>
      </c>
    </row>
    <row r="200" spans="1:1" x14ac:dyDescent="0.3">
      <c r="A200" s="20" t="s">
        <v>207</v>
      </c>
    </row>
    <row r="201" spans="1:1" x14ac:dyDescent="0.3">
      <c r="A201" s="20" t="s">
        <v>208</v>
      </c>
    </row>
    <row r="202" spans="1:1" x14ac:dyDescent="0.3">
      <c r="A202" s="20" t="s">
        <v>209</v>
      </c>
    </row>
    <row r="203" spans="1:1" x14ac:dyDescent="0.3">
      <c r="A203" s="20" t="s">
        <v>210</v>
      </c>
    </row>
    <row r="204" spans="1:1" x14ac:dyDescent="0.3">
      <c r="A204" s="20" t="s">
        <v>211</v>
      </c>
    </row>
    <row r="205" spans="1:1" x14ac:dyDescent="0.3">
      <c r="A205" s="20" t="s">
        <v>212</v>
      </c>
    </row>
    <row r="206" spans="1:1" x14ac:dyDescent="0.3">
      <c r="A206" s="20" t="s">
        <v>213</v>
      </c>
    </row>
    <row r="207" spans="1:1" x14ac:dyDescent="0.3">
      <c r="A207" s="20" t="s">
        <v>214</v>
      </c>
    </row>
    <row r="208" spans="1:1" x14ac:dyDescent="0.3">
      <c r="A208" s="20" t="s">
        <v>215</v>
      </c>
    </row>
    <row r="209" spans="1:2" x14ac:dyDescent="0.3">
      <c r="A209" s="20" t="s">
        <v>216</v>
      </c>
    </row>
    <row r="210" spans="1:2" x14ac:dyDescent="0.3">
      <c r="A210" s="20" t="s">
        <v>217</v>
      </c>
    </row>
    <row r="211" spans="1:2" x14ac:dyDescent="0.3">
      <c r="A211" s="20" t="s">
        <v>202</v>
      </c>
    </row>
    <row r="212" spans="1:2" x14ac:dyDescent="0.3">
      <c r="A212" s="21" t="s">
        <v>218</v>
      </c>
    </row>
    <row r="213" spans="1:2" x14ac:dyDescent="0.3">
      <c r="A213" s="20" t="s">
        <v>219</v>
      </c>
    </row>
    <row r="214" spans="1:2" x14ac:dyDescent="0.3">
      <c r="A214" s="20" t="s">
        <v>220</v>
      </c>
    </row>
    <row r="215" spans="1:2" x14ac:dyDescent="0.3">
      <c r="A215" s="20" t="s">
        <v>221</v>
      </c>
    </row>
    <row r="216" spans="1:2" x14ac:dyDescent="0.3">
      <c r="A216" s="20" t="s">
        <v>222</v>
      </c>
    </row>
    <row r="217" spans="1:2" x14ac:dyDescent="0.3">
      <c r="A217" s="20" t="s">
        <v>223</v>
      </c>
    </row>
    <row r="218" spans="1:2" x14ac:dyDescent="0.3">
      <c r="A218" s="20" t="s">
        <v>224</v>
      </c>
    </row>
    <row r="219" spans="1:2" x14ac:dyDescent="0.3">
      <c r="A219" s="20" t="s">
        <v>225</v>
      </c>
    </row>
    <row r="220" spans="1:2" x14ac:dyDescent="0.3">
      <c r="A220" s="20" t="s">
        <v>226</v>
      </c>
    </row>
    <row r="221" spans="1:2" x14ac:dyDescent="0.3">
      <c r="B221" s="20" t="s">
        <v>227</v>
      </c>
    </row>
    <row r="222" spans="1:2" x14ac:dyDescent="0.3">
      <c r="A222" s="20" t="s">
        <v>228</v>
      </c>
    </row>
    <row r="223" spans="1:2" x14ac:dyDescent="0.3">
      <c r="A223" s="20" t="s">
        <v>229</v>
      </c>
    </row>
    <row r="224" spans="1:2" x14ac:dyDescent="0.3">
      <c r="A224" s="20" t="s">
        <v>230</v>
      </c>
    </row>
    <row r="225" spans="1:1" x14ac:dyDescent="0.3">
      <c r="A225" s="20" t="s">
        <v>202</v>
      </c>
    </row>
    <row r="226" spans="1:1" x14ac:dyDescent="0.3">
      <c r="A226" s="21" t="s">
        <v>231</v>
      </c>
    </row>
    <row r="227" spans="1:1" x14ac:dyDescent="0.3">
      <c r="A227" s="20" t="s">
        <v>232</v>
      </c>
    </row>
    <row r="228" spans="1:1" x14ac:dyDescent="0.3">
      <c r="A228" s="20" t="s">
        <v>233</v>
      </c>
    </row>
    <row r="229" spans="1:1" x14ac:dyDescent="0.3">
      <c r="A229" s="20" t="s">
        <v>234</v>
      </c>
    </row>
    <row r="230" spans="1:1" x14ac:dyDescent="0.3">
      <c r="A230" s="20" t="s">
        <v>235</v>
      </c>
    </row>
    <row r="231" spans="1:1" x14ac:dyDescent="0.3">
      <c r="A231" s="20" t="s">
        <v>236</v>
      </c>
    </row>
    <row r="233" spans="1:1" x14ac:dyDescent="0.3">
      <c r="A233" s="20" t="s">
        <v>355</v>
      </c>
    </row>
    <row r="234" spans="1:1" x14ac:dyDescent="0.3">
      <c r="A234" s="20" t="s">
        <v>237</v>
      </c>
    </row>
    <row r="235" spans="1:1" x14ac:dyDescent="0.3">
      <c r="A235" s="20" t="s">
        <v>238</v>
      </c>
    </row>
    <row r="236" spans="1:1" x14ac:dyDescent="0.3">
      <c r="A236" s="20" t="s">
        <v>239</v>
      </c>
    </row>
    <row r="237" spans="1:1" x14ac:dyDescent="0.3">
      <c r="A237" s="20" t="s">
        <v>240</v>
      </c>
    </row>
    <row r="239" spans="1:1" x14ac:dyDescent="0.3">
      <c r="A239" s="20" t="s">
        <v>241</v>
      </c>
    </row>
    <row r="240" spans="1:1" x14ac:dyDescent="0.3">
      <c r="A240" s="20" t="s">
        <v>242</v>
      </c>
    </row>
    <row r="241" spans="1:1" x14ac:dyDescent="0.3">
      <c r="A241" s="20" t="s">
        <v>243</v>
      </c>
    </row>
    <row r="242" spans="1:1" x14ac:dyDescent="0.3">
      <c r="A242" s="20" t="s">
        <v>244</v>
      </c>
    </row>
    <row r="243" spans="1:1" x14ac:dyDescent="0.3">
      <c r="A243" s="20" t="s">
        <v>245</v>
      </c>
    </row>
    <row r="244" spans="1:1" x14ac:dyDescent="0.3">
      <c r="A244" s="20" t="s">
        <v>246</v>
      </c>
    </row>
    <row r="245" spans="1:1" x14ac:dyDescent="0.3">
      <c r="A245" s="20" t="s">
        <v>247</v>
      </c>
    </row>
    <row r="246" spans="1:1" x14ac:dyDescent="0.3">
      <c r="A246" s="20" t="s">
        <v>248</v>
      </c>
    </row>
    <row r="247" spans="1:1" x14ac:dyDescent="0.3">
      <c r="A247" s="20" t="s">
        <v>249</v>
      </c>
    </row>
    <row r="248" spans="1:1" x14ac:dyDescent="0.3">
      <c r="A248" s="20" t="s">
        <v>250</v>
      </c>
    </row>
    <row r="249" spans="1:1" x14ac:dyDescent="0.3">
      <c r="A249" s="20" t="s">
        <v>251</v>
      </c>
    </row>
    <row r="250" spans="1:1" x14ac:dyDescent="0.3">
      <c r="A250" s="20" t="s">
        <v>252</v>
      </c>
    </row>
    <row r="251" spans="1:1" x14ac:dyDescent="0.3">
      <c r="A251" s="20" t="s">
        <v>253</v>
      </c>
    </row>
    <row r="252" spans="1:1" x14ac:dyDescent="0.3">
      <c r="A252" s="20" t="s">
        <v>254</v>
      </c>
    </row>
    <row r="253" spans="1:1" x14ac:dyDescent="0.3">
      <c r="A253" s="20" t="s">
        <v>202</v>
      </c>
    </row>
    <row r="254" spans="1:1" x14ac:dyDescent="0.3">
      <c r="A254" s="20" t="s">
        <v>255</v>
      </c>
    </row>
    <row r="255" spans="1:1" x14ac:dyDescent="0.3">
      <c r="A255" s="20" t="s">
        <v>256</v>
      </c>
    </row>
    <row r="256" spans="1:1" x14ac:dyDescent="0.3">
      <c r="A256" s="20" t="s">
        <v>257</v>
      </c>
    </row>
    <row r="257" spans="1:1" x14ac:dyDescent="0.3">
      <c r="A257" s="20" t="s">
        <v>202</v>
      </c>
    </row>
    <row r="258" spans="1:1" x14ac:dyDescent="0.3">
      <c r="A258" s="21" t="s">
        <v>258</v>
      </c>
    </row>
    <row r="259" spans="1:1" x14ac:dyDescent="0.3">
      <c r="A259" s="20" t="s">
        <v>259</v>
      </c>
    </row>
    <row r="260" spans="1:1" x14ac:dyDescent="0.3">
      <c r="A260" s="20" t="s">
        <v>260</v>
      </c>
    </row>
    <row r="261" spans="1:1" x14ac:dyDescent="0.3">
      <c r="A261" s="20" t="s">
        <v>261</v>
      </c>
    </row>
    <row r="262" spans="1:1" x14ac:dyDescent="0.3">
      <c r="A262" s="20" t="s">
        <v>262</v>
      </c>
    </row>
    <row r="263" spans="1:1" x14ac:dyDescent="0.3">
      <c r="A263" s="20" t="s">
        <v>263</v>
      </c>
    </row>
    <row r="264" spans="1:1" x14ac:dyDescent="0.3">
      <c r="A264" s="20" t="s">
        <v>264</v>
      </c>
    </row>
    <row r="265" spans="1:1" x14ac:dyDescent="0.3">
      <c r="A265" s="20" t="s">
        <v>265</v>
      </c>
    </row>
    <row r="266" spans="1:1" x14ac:dyDescent="0.3">
      <c r="A266" s="20" t="s">
        <v>266</v>
      </c>
    </row>
    <row r="267" spans="1:1" x14ac:dyDescent="0.3">
      <c r="A267" s="20" t="s">
        <v>267</v>
      </c>
    </row>
    <row r="268" spans="1:1" x14ac:dyDescent="0.3">
      <c r="A268" s="20" t="s">
        <v>268</v>
      </c>
    </row>
    <row r="269" spans="1:1" x14ac:dyDescent="0.3">
      <c r="A269" s="20" t="s">
        <v>269</v>
      </c>
    </row>
    <row r="270" spans="1:1" x14ac:dyDescent="0.3">
      <c r="A270" s="20" t="s">
        <v>270</v>
      </c>
    </row>
    <row r="271" spans="1:1" x14ac:dyDescent="0.3">
      <c r="A271" s="20" t="s">
        <v>271</v>
      </c>
    </row>
    <row r="272" spans="1:1" x14ac:dyDescent="0.3">
      <c r="A272" s="20" t="s">
        <v>272</v>
      </c>
    </row>
    <row r="273" spans="1:1" x14ac:dyDescent="0.3">
      <c r="A273" s="20" t="s">
        <v>273</v>
      </c>
    </row>
    <row r="274" spans="1:1" x14ac:dyDescent="0.3">
      <c r="A274" s="20" t="s">
        <v>202</v>
      </c>
    </row>
    <row r="275" spans="1:1" x14ac:dyDescent="0.3">
      <c r="A275" s="20" t="s">
        <v>356</v>
      </c>
    </row>
    <row r="276" spans="1:1" x14ac:dyDescent="0.3">
      <c r="A276" s="20" t="s">
        <v>274</v>
      </c>
    </row>
    <row r="277" spans="1:1" x14ac:dyDescent="0.3">
      <c r="A277" s="20" t="s">
        <v>275</v>
      </c>
    </row>
    <row r="278" spans="1:1" x14ac:dyDescent="0.3">
      <c r="A278" s="20" t="s">
        <v>276</v>
      </c>
    </row>
    <row r="279" spans="1:1" x14ac:dyDescent="0.3">
      <c r="A279" s="20" t="s">
        <v>277</v>
      </c>
    </row>
    <row r="280" spans="1:1" x14ac:dyDescent="0.3">
      <c r="A280" s="20" t="s">
        <v>278</v>
      </c>
    </row>
    <row r="281" spans="1:1" x14ac:dyDescent="0.3">
      <c r="A281" s="20" t="s">
        <v>279</v>
      </c>
    </row>
    <row r="282" spans="1:1" x14ac:dyDescent="0.3">
      <c r="A282" s="20" t="s">
        <v>280</v>
      </c>
    </row>
    <row r="283" spans="1:1" x14ac:dyDescent="0.3">
      <c r="A283" s="20" t="s">
        <v>281</v>
      </c>
    </row>
    <row r="284" spans="1:1" x14ac:dyDescent="0.3">
      <c r="A284" s="20" t="s">
        <v>282</v>
      </c>
    </row>
    <row r="285" spans="1:1" x14ac:dyDescent="0.3">
      <c r="A285" s="20" t="s">
        <v>283</v>
      </c>
    </row>
    <row r="286" spans="1:1" x14ac:dyDescent="0.3">
      <c r="A286" s="20" t="s">
        <v>284</v>
      </c>
    </row>
    <row r="287" spans="1:1" x14ac:dyDescent="0.3">
      <c r="A287" s="20" t="s">
        <v>285</v>
      </c>
    </row>
    <row r="288" spans="1:1" x14ac:dyDescent="0.3">
      <c r="A288" s="20" t="s">
        <v>286</v>
      </c>
    </row>
    <row r="289" spans="1:2" x14ac:dyDescent="0.3">
      <c r="A289" s="20" t="s">
        <v>202</v>
      </c>
    </row>
    <row r="290" spans="1:2" x14ac:dyDescent="0.3">
      <c r="A290" s="20" t="s">
        <v>357</v>
      </c>
    </row>
    <row r="291" spans="1:2" x14ac:dyDescent="0.3">
      <c r="A291" s="20" t="s">
        <v>287</v>
      </c>
    </row>
    <row r="292" spans="1:2" x14ac:dyDescent="0.3">
      <c r="A292" s="20" t="s">
        <v>288</v>
      </c>
    </row>
    <row r="293" spans="1:2" x14ac:dyDescent="0.3">
      <c r="A293" s="20" t="s">
        <v>289</v>
      </c>
    </row>
    <row r="294" spans="1:2" x14ac:dyDescent="0.3">
      <c r="A294" s="20" t="s">
        <v>290</v>
      </c>
      <c r="B294" s="20" t="s">
        <v>291</v>
      </c>
    </row>
    <row r="296" spans="1:2" x14ac:dyDescent="0.3">
      <c r="A296" s="20" t="s">
        <v>292</v>
      </c>
    </row>
    <row r="297" spans="1:2" x14ac:dyDescent="0.3">
      <c r="A297" s="20" t="s">
        <v>293</v>
      </c>
    </row>
    <row r="298" spans="1:2" x14ac:dyDescent="0.3">
      <c r="A298" s="20" t="s">
        <v>294</v>
      </c>
    </row>
    <row r="299" spans="1:2" x14ac:dyDescent="0.3">
      <c r="A299" s="20" t="s">
        <v>358</v>
      </c>
    </row>
    <row r="300" spans="1:2" x14ac:dyDescent="0.3">
      <c r="A300" s="20" t="s">
        <v>359</v>
      </c>
    </row>
    <row r="301" spans="1:2" x14ac:dyDescent="0.3">
      <c r="A301" s="20" t="s">
        <v>295</v>
      </c>
    </row>
    <row r="302" spans="1:2" x14ac:dyDescent="0.3">
      <c r="A302" s="20" t="s">
        <v>360</v>
      </c>
    </row>
    <row r="304" spans="1:2" x14ac:dyDescent="0.3">
      <c r="A304" s="20" t="s">
        <v>296</v>
      </c>
    </row>
    <row r="305" spans="1:1" x14ac:dyDescent="0.3">
      <c r="A305" s="20" t="s">
        <v>297</v>
      </c>
    </row>
    <row r="307" spans="1:1" x14ac:dyDescent="0.3">
      <c r="A307" s="20" t="s">
        <v>298</v>
      </c>
    </row>
    <row r="309" spans="1:1" x14ac:dyDescent="0.3">
      <c r="A309" s="20" t="s">
        <v>361</v>
      </c>
    </row>
    <row r="311" spans="1:1" x14ac:dyDescent="0.3">
      <c r="A311" s="20" t="s">
        <v>362</v>
      </c>
    </row>
    <row r="312" spans="1:1" x14ac:dyDescent="0.3">
      <c r="A312" s="20" t="s">
        <v>363</v>
      </c>
    </row>
    <row r="313" spans="1:1" x14ac:dyDescent="0.3">
      <c r="A313" s="20" t="s">
        <v>299</v>
      </c>
    </row>
    <row r="314" spans="1:1" x14ac:dyDescent="0.3">
      <c r="A314" s="20" t="s">
        <v>364</v>
      </c>
    </row>
    <row r="315" spans="1:1" x14ac:dyDescent="0.3">
      <c r="A315" s="20" t="s">
        <v>365</v>
      </c>
    </row>
    <row r="316" spans="1:1" x14ac:dyDescent="0.3">
      <c r="A316" s="20" t="s">
        <v>300</v>
      </c>
    </row>
    <row r="317" spans="1:1" x14ac:dyDescent="0.3">
      <c r="A317" s="20" t="s">
        <v>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Tài Khoản</vt:lpstr>
      <vt:lpstr>Biến Động TK</vt:lpstr>
      <vt:lpstr>Back Test</vt:lpstr>
      <vt:lpstr>Danh Mục</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Vu Huu Chien (武友站)</cp:lastModifiedBy>
  <dcterms:created xsi:type="dcterms:W3CDTF">2024-08-29T01:06:43Z</dcterms:created>
  <dcterms:modified xsi:type="dcterms:W3CDTF">2026-04-16T04:05:57Z</dcterms:modified>
</cp:coreProperties>
</file>